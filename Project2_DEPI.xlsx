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D:\DEPI\Excel\"/>
    </mc:Choice>
  </mc:AlternateContent>
  <xr:revisionPtr revIDLastSave="0" documentId="13_ncr:1_{81FDD5C3-996E-477C-8588-C16D7ECC0100}" xr6:coauthVersionLast="47" xr6:coauthVersionMax="47" xr10:uidLastSave="{00000000-0000-0000-0000-000000000000}"/>
  <bookViews>
    <workbookView xWindow="-108" yWindow="-108" windowWidth="23256" windowHeight="13896" xr2:uid="{E5EFAF8E-40DB-419A-9F57-6885DEC5C394}"/>
  </bookViews>
  <sheets>
    <sheet name="Dashboard" sheetId="13" r:id="rId1"/>
    <sheet name="Data" sheetId="1" r:id="rId2"/>
    <sheet name="Business Insight" sheetId="15" r:id="rId3"/>
    <sheet name="KPI" sheetId="14" r:id="rId4"/>
    <sheet name="Net Sales" sheetId="3" r:id="rId5"/>
    <sheet name="Profit Analysis" sheetId="5" r:id="rId6"/>
    <sheet name="Salesperson Performance" sheetId="8" r:id="rId7"/>
    <sheet name="Time Analysis" sheetId="10" r:id="rId8"/>
    <sheet name="Sales Band Distribution" sheetId="11" r:id="rId9"/>
  </sheets>
  <definedNames>
    <definedName name="Slicer_Category">#N/A</definedName>
    <definedName name="Slicer_Channel">#N/A</definedName>
    <definedName name="Slicer_Region">#N/A</definedName>
    <definedName name="Slicer_Salesperson">#N/A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5" i="14" l="1"/>
  <c r="A14" i="1"/>
  <c r="B14" i="14"/>
  <c r="B13" i="14"/>
  <c r="B12" i="14"/>
  <c r="B3" i="14"/>
  <c r="S14" i="1"/>
  <c r="B1" i="14"/>
  <c r="O14" i="1"/>
  <c r="S3" i="1"/>
  <c r="S4" i="1"/>
  <c r="S5" i="1"/>
  <c r="S6" i="1"/>
  <c r="S7" i="1"/>
  <c r="S8" i="1"/>
  <c r="S9" i="1"/>
  <c r="S10" i="1"/>
  <c r="S11" i="1"/>
  <c r="S12" i="1"/>
  <c r="S13" i="1"/>
  <c r="S2" i="1"/>
  <c r="R3" i="1"/>
  <c r="R4" i="1"/>
  <c r="R5" i="1"/>
  <c r="R6" i="1"/>
  <c r="R7" i="1"/>
  <c r="R8" i="1"/>
  <c r="R9" i="1"/>
  <c r="R10" i="1"/>
  <c r="R11" i="1"/>
  <c r="R12" i="1"/>
  <c r="R13" i="1"/>
  <c r="R2" i="1"/>
  <c r="Q3" i="1"/>
  <c r="Q4" i="1"/>
  <c r="Q5" i="1"/>
  <c r="Q6" i="1"/>
  <c r="Q7" i="1"/>
  <c r="Q8" i="1"/>
  <c r="Q9" i="1"/>
  <c r="Q10" i="1"/>
  <c r="Q11" i="1"/>
  <c r="Q12" i="1"/>
  <c r="Q13" i="1"/>
  <c r="Q2" i="1"/>
  <c r="P3" i="1"/>
  <c r="P4" i="1"/>
  <c r="P5" i="1"/>
  <c r="P6" i="1"/>
  <c r="P7" i="1"/>
  <c r="P8" i="1"/>
  <c r="P9" i="1"/>
  <c r="P10" i="1"/>
  <c r="P11" i="1"/>
  <c r="P12" i="1"/>
  <c r="P13" i="1"/>
  <c r="P2" i="1"/>
  <c r="O3" i="1"/>
  <c r="O4" i="1"/>
  <c r="O5" i="1"/>
  <c r="O6" i="1"/>
  <c r="O7" i="1"/>
  <c r="O8" i="1"/>
  <c r="O9" i="1"/>
  <c r="O10" i="1"/>
  <c r="O11" i="1"/>
  <c r="O12" i="1"/>
  <c r="O13" i="1"/>
  <c r="O2" i="1"/>
  <c r="N13" i="1"/>
  <c r="N12" i="1"/>
  <c r="N11" i="1"/>
  <c r="N10" i="1"/>
  <c r="N9" i="1"/>
  <c r="N8" i="1"/>
  <c r="N7" i="1"/>
  <c r="N6" i="1"/>
  <c r="N5" i="1"/>
  <c r="N4" i="1"/>
  <c r="N3" i="1"/>
  <c r="N2" i="1"/>
  <c r="M3" i="1"/>
  <c r="M4" i="1"/>
  <c r="M5" i="1"/>
  <c r="M6" i="1"/>
  <c r="M7" i="1"/>
  <c r="M8" i="1"/>
  <c r="M9" i="1"/>
  <c r="M10" i="1"/>
  <c r="M11" i="1"/>
  <c r="M12" i="1"/>
  <c r="M13" i="1"/>
  <c r="M2" i="1"/>
</calcChain>
</file>

<file path=xl/sharedStrings.xml><?xml version="1.0" encoding="utf-8"?>
<sst xmlns="http://schemas.openxmlformats.org/spreadsheetml/2006/main" count="172" uniqueCount="80">
  <si>
    <t>OrderID</t>
  </si>
  <si>
    <t>OrderDate</t>
  </si>
  <si>
    <t>Region</t>
  </si>
  <si>
    <t>Country</t>
  </si>
  <si>
    <t>City</t>
  </si>
  <si>
    <t>Salesperson</t>
  </si>
  <si>
    <t>Channel</t>
  </si>
  <si>
    <t>Product</t>
  </si>
  <si>
    <t>Category</t>
  </si>
  <si>
    <t>UnitsSold</t>
  </si>
  <si>
    <t>UnitPrice</t>
  </si>
  <si>
    <t>Discount</t>
  </si>
  <si>
    <t>East</t>
  </si>
  <si>
    <t>Egypt</t>
  </si>
  <si>
    <t>Cairo</t>
  </si>
  <si>
    <t>Ahmed</t>
  </si>
  <si>
    <t>Online</t>
  </si>
  <si>
    <t>Laptop</t>
  </si>
  <si>
    <t>Electronics</t>
  </si>
  <si>
    <t>West</t>
  </si>
  <si>
    <t>Alex</t>
  </si>
  <si>
    <t>Sara</t>
  </si>
  <si>
    <t>Retail</t>
  </si>
  <si>
    <t>Mouse</t>
  </si>
  <si>
    <t>Accessories</t>
  </si>
  <si>
    <t>Mona</t>
  </si>
  <si>
    <t>Keyboard</t>
  </si>
  <si>
    <t>North</t>
  </si>
  <si>
    <t>KSA</t>
  </si>
  <si>
    <t>Riyadh</t>
  </si>
  <si>
    <t>Omar</t>
  </si>
  <si>
    <t>Distributor</t>
  </si>
  <si>
    <t>South</t>
  </si>
  <si>
    <t>UAE</t>
  </si>
  <si>
    <t>Dubai</t>
  </si>
  <si>
    <t>Lina</t>
  </si>
  <si>
    <t>Monitor</t>
  </si>
  <si>
    <t>Giza</t>
  </si>
  <si>
    <t>Jeddah</t>
  </si>
  <si>
    <t>Abu Dhabi</t>
  </si>
  <si>
    <t>Tanta</t>
  </si>
  <si>
    <t>Gross Sales</t>
  </si>
  <si>
    <t>Discount Amount</t>
  </si>
  <si>
    <t>Net Sales</t>
  </si>
  <si>
    <t>Order Month</t>
  </si>
  <si>
    <t>Order Quarter</t>
  </si>
  <si>
    <t>Sales Band</t>
  </si>
  <si>
    <t xml:space="preserve">Profit </t>
  </si>
  <si>
    <t>Sum of Net Sales</t>
  </si>
  <si>
    <t>Row Labels</t>
  </si>
  <si>
    <t>Grand Total</t>
  </si>
  <si>
    <t>Channels</t>
  </si>
  <si>
    <t>Regions</t>
  </si>
  <si>
    <t xml:space="preserve">Sum of Profit </t>
  </si>
  <si>
    <t>(All)</t>
  </si>
  <si>
    <t>January</t>
  </si>
  <si>
    <t>High</t>
  </si>
  <si>
    <t>July</t>
  </si>
  <si>
    <t>Low</t>
  </si>
  <si>
    <t>February</t>
  </si>
  <si>
    <t>March</t>
  </si>
  <si>
    <t>April</t>
  </si>
  <si>
    <t>May</t>
  </si>
  <si>
    <t>June</t>
  </si>
  <si>
    <t>August</t>
  </si>
  <si>
    <t>September</t>
  </si>
  <si>
    <t>October</t>
  </si>
  <si>
    <t>November</t>
  </si>
  <si>
    <t>December</t>
  </si>
  <si>
    <t>Medium</t>
  </si>
  <si>
    <t>Count of OrderID</t>
  </si>
  <si>
    <t>Total Net Sales</t>
  </si>
  <si>
    <t>Total Profit</t>
  </si>
  <si>
    <t>Total Orders</t>
  </si>
  <si>
    <t>Copies</t>
  </si>
  <si>
    <r>
      <t xml:space="preserve">1. Which </t>
    </r>
    <r>
      <rPr>
        <b/>
        <sz val="12"/>
        <color theme="1"/>
        <rFont val="Times New Roman"/>
        <family val="1"/>
      </rPr>
      <t>region &amp; channel combination</t>
    </r>
    <r>
      <rPr>
        <sz val="12"/>
        <color theme="1"/>
        <rFont val="Times New Roman"/>
        <family val="1"/>
      </rPr>
      <t xml:space="preserve"> generates the highest revenue?</t>
    </r>
  </si>
  <si>
    <r>
      <t xml:space="preserve">2. Which </t>
    </r>
    <r>
      <rPr>
        <b/>
        <sz val="12"/>
        <color theme="1"/>
        <rFont val="Times New Roman"/>
        <family val="1"/>
      </rPr>
      <t>category is most profitable</t>
    </r>
    <r>
      <rPr>
        <sz val="12"/>
        <color theme="1"/>
        <rFont val="Times New Roman"/>
        <family val="1"/>
      </rPr>
      <t>?</t>
    </r>
  </si>
  <si>
    <r>
      <t xml:space="preserve">3. Who is the </t>
    </r>
    <r>
      <rPr>
        <b/>
        <sz val="12"/>
        <color theme="1"/>
        <rFont val="Times New Roman"/>
        <family val="1"/>
      </rPr>
      <t>top salesperson by profit</t>
    </r>
    <r>
      <rPr>
        <sz val="12"/>
        <color theme="1"/>
        <rFont val="Times New Roman"/>
        <family val="1"/>
      </rPr>
      <t>?</t>
    </r>
  </si>
  <si>
    <r>
      <t xml:space="preserve">4. Which </t>
    </r>
    <r>
      <rPr>
        <b/>
        <sz val="12"/>
        <color theme="1"/>
        <rFont val="Times New Roman"/>
        <family val="1"/>
      </rPr>
      <t>sales band</t>
    </r>
    <r>
      <rPr>
        <sz val="12"/>
        <color theme="1"/>
        <rFont val="Times New Roman"/>
        <family val="1"/>
      </rPr>
      <t xml:space="preserve"> dominates total revenue?</t>
    </r>
  </si>
  <si>
    <t>East &amp; Online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</si>
</sst>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00"/>
    <numFmt numFmtId="165" formatCode="&quot;$&quot;#,##0"/>
  </numFmts>
  <fonts count="5" x14ac:knownFonts="1">
    <font>
      <sz val="11"/>
      <color theme="1"/>
      <name val="Calibri"/>
      <family val="2"/>
      <scheme val="minor"/>
    </font>
    <font>
      <b/>
      <sz val="11"/>
      <color theme="1"/>
      <name val="Calibri"/>
      <family val="2"/>
      <scheme val="minor"/>
    </font>
    <font>
      <sz val="12"/>
      <color theme="1"/>
      <name val="Times New Roman"/>
      <family val="1"/>
    </font>
    <font>
      <b/>
      <sz val="12"/>
      <color theme="1"/>
      <name val="Times New Roman"/>
      <family val="1"/>
    </font>
    <font>
      <b/>
      <sz val="13"/>
      <color theme="1"/>
      <name val="Times New Roman"/>
      <family val="1"/>
    </font>
  </fonts>
  <fills count="4">
    <fill>
      <patternFill patternType="none"/>
    </fill>
    <fill>
      <patternFill patternType="gray125"/>
    </fill>
    <fill>
      <patternFill patternType="solid">
        <fgColor theme="4" tint="0.59999389629810485"/>
        <bgColor indexed="64"/>
      </patternFill>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9">
    <xf numFmtId="0" fontId="0" fillId="0" borderId="0" xfId="0"/>
    <xf numFmtId="164" fontId="0" fillId="0" borderId="0" xfId="0" applyNumberFormat="1"/>
    <xf numFmtId="0" fontId="3" fillId="0" borderId="0" xfId="0" applyFont="1" applyAlignment="1">
      <alignment horizontal="center" vertical="center" wrapText="1" readingOrder="1"/>
    </xf>
    <xf numFmtId="165" fontId="3" fillId="0" borderId="0" xfId="0" applyNumberFormat="1" applyFont="1" applyAlignment="1">
      <alignment horizontal="center" vertical="center" wrapText="1" readingOrder="1"/>
    </xf>
    <xf numFmtId="0" fontId="0" fillId="0" borderId="0" xfId="0" applyAlignment="1">
      <alignment horizontal="center"/>
    </xf>
    <xf numFmtId="0" fontId="2" fillId="0" borderId="0" xfId="0" applyFont="1" applyAlignment="1">
      <alignment horizontal="center" vertical="center" wrapText="1" readingOrder="1"/>
    </xf>
    <xf numFmtId="14" fontId="2" fillId="0" borderId="0" xfId="0" applyNumberFormat="1" applyFont="1" applyAlignment="1">
      <alignment horizontal="center" vertical="center" wrapText="1" readingOrder="1"/>
    </xf>
    <xf numFmtId="165" fontId="2" fillId="0" borderId="0" xfId="0" applyNumberFormat="1" applyFont="1" applyAlignment="1">
      <alignment horizontal="center" vertical="center" wrapText="1" readingOrder="1"/>
    </xf>
    <xf numFmtId="9" fontId="2" fillId="0" borderId="0" xfId="0" applyNumberFormat="1" applyFont="1" applyAlignment="1">
      <alignment horizontal="center" vertical="center" wrapText="1" readingOrder="1"/>
    </xf>
    <xf numFmtId="165" fontId="0" fillId="0" borderId="0" xfId="0" applyNumberFormat="1" applyAlignment="1">
      <alignment horizontal="center"/>
    </xf>
    <xf numFmtId="164" fontId="0" fillId="0" borderId="0" xfId="0" applyNumberFormat="1" applyAlignment="1">
      <alignment horizontal="center"/>
    </xf>
    <xf numFmtId="164" fontId="4" fillId="0" borderId="0" xfId="0" applyNumberFormat="1" applyFont="1" applyAlignment="1">
      <alignment horizontal="left" vertical="center" readingOrder="1"/>
    </xf>
    <xf numFmtId="164" fontId="3" fillId="0" borderId="0" xfId="0" applyNumberFormat="1" applyFont="1" applyAlignment="1">
      <alignment horizontal="center" vertical="center" wrapText="1" readingOrder="1"/>
    </xf>
    <xf numFmtId="0" fontId="0" fillId="0" borderId="0" xfId="0" applyNumberFormat="1"/>
    <xf numFmtId="0" fontId="0" fillId="0" borderId="0" xfId="0" pivotButton="1"/>
    <xf numFmtId="0" fontId="0" fillId="0" borderId="0" xfId="0" applyAlignment="1">
      <alignment horizontal="left"/>
    </xf>
    <xf numFmtId="0" fontId="0" fillId="0" borderId="1" xfId="0" pivotButton="1" applyBorder="1"/>
    <xf numFmtId="0" fontId="0" fillId="0" borderId="1" xfId="0" applyBorder="1"/>
    <xf numFmtId="0" fontId="0" fillId="0" borderId="1" xfId="0" applyBorder="1" applyAlignment="1">
      <alignment horizontal="left"/>
    </xf>
    <xf numFmtId="164" fontId="0" fillId="0" borderId="1" xfId="0" applyNumberFormat="1" applyBorder="1"/>
    <xf numFmtId="0" fontId="0" fillId="2" borderId="0" xfId="0" applyFill="1"/>
    <xf numFmtId="0" fontId="0" fillId="3" borderId="0" xfId="0" applyFill="1"/>
    <xf numFmtId="0" fontId="2" fillId="0" borderId="0" xfId="0" applyFont="1" applyAlignment="1">
      <alignment horizontal="left" vertical="center" readingOrder="1"/>
    </xf>
    <xf numFmtId="0" fontId="0" fillId="0" borderId="0" xfId="0" applyAlignment="1">
      <alignment horizontal="left" vertical="center" indent="1"/>
    </xf>
    <xf numFmtId="0" fontId="2" fillId="0" borderId="1" xfId="0" applyFont="1" applyBorder="1" applyAlignment="1">
      <alignment horizontal="left" vertical="center" readingOrder="1"/>
    </xf>
    <xf numFmtId="164" fontId="1" fillId="0" borderId="1" xfId="0" applyNumberFormat="1" applyFont="1" applyBorder="1" applyAlignment="1">
      <alignment horizontal="center"/>
    </xf>
    <xf numFmtId="0" fontId="0" fillId="0" borderId="1" xfId="0" applyBorder="1" applyAlignment="1">
      <alignment horizontal="left" vertical="center" indent="1"/>
    </xf>
    <xf numFmtId="0" fontId="3" fillId="0" borderId="1" xfId="0" applyFont="1" applyBorder="1" applyAlignment="1">
      <alignment horizontal="center" vertical="center" wrapText="1" readingOrder="1"/>
    </xf>
    <xf numFmtId="0" fontId="0" fillId="2" borderId="1" xfId="0" applyFill="1" applyBorder="1" applyAlignment="1">
      <alignment horizontal="center"/>
    </xf>
  </cellXfs>
  <cellStyles count="1">
    <cellStyle name="Normal" xfId="0" builtinId="0"/>
  </cellStyles>
  <dxfs count="66">
    <dxf>
      <font>
        <sz val="9"/>
      </font>
      <fill>
        <patternFill>
          <bgColor theme="4" tint="0.59996337778862885"/>
        </patternFill>
      </fill>
    </dxf>
    <dxf>
      <font>
        <sz val="9"/>
        <color theme="0"/>
      </font>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bgColor theme="4" tint="0.79998168889431442"/>
        </patternFill>
      </fill>
    </dxf>
    <dxf>
      <fill>
        <patternFill>
          <bgColor theme="4" tint="0.59996337778862885"/>
        </patternFill>
      </fill>
    </dxf>
    <dxf>
      <border diagonalUp="0" diagonalDown="0">
        <left/>
        <right/>
        <top/>
        <bottom/>
        <vertical/>
        <horizontal/>
      </border>
    </dxf>
    <dxf>
      <numFmt numFmtId="164" formatCode="&quot;$&quot;#,##0.00"/>
      <alignment horizontal="center" vertical="bottom" textRotation="0" wrapText="0" indent="0" justifyLastLine="0" shrinkToFit="0" readingOrder="0"/>
    </dxf>
    <dxf>
      <numFmt numFmtId="164" formatCode="&quot;$&quot;#,##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quot;$&quot;#,##0.00"/>
      <alignment horizontal="center" vertical="bottom" textRotation="0" wrapText="0" indent="0" justifyLastLine="0" shrinkToFit="0" readingOrder="0"/>
    </dxf>
    <dxf>
      <numFmt numFmtId="164" formatCode="&quot;$&quot;#,##0.00"/>
      <alignment horizontal="center" vertical="bottom" textRotation="0" wrapText="0" indent="0" justifyLastLine="0" shrinkToFit="0" readingOrder="0"/>
    </dxf>
    <dxf>
      <numFmt numFmtId="165" formatCode="&quot;$&quot;#,##0"/>
      <alignment horizontal="center" vertical="bottom" textRotation="0" wrapText="0" indent="0" justifyLastLine="0" shrinkToFit="0" readingOrder="0"/>
    </dxf>
    <dxf>
      <numFmt numFmtId="165" formatCode="&quot;$&quot;#,##0"/>
      <alignment horizontal="center" vertical="bottom" textRotation="0" wrapText="0" indent="0" justifyLastLine="0" shrinkToFit="0" readingOrder="0"/>
    </dxf>
    <dxf>
      <numFmt numFmtId="165" formatCode="&quot;$&quot;#,##0"/>
      <alignment horizontal="center" vertical="bottom" textRotation="0" wrapText="0" indent="0" justifyLastLine="0" shrinkToFit="0" readingOrder="0"/>
    </dxf>
    <dxf>
      <numFmt numFmtId="165" formatCode="&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numFmt numFmtId="13" formatCode="0%"/>
      <alignment horizontal="center" vertical="center" textRotation="0" wrapText="1" indent="0" justifyLastLine="0" shrinkToFit="0" readingOrder="1"/>
    </dxf>
    <dxf>
      <font>
        <b val="0"/>
        <i val="0"/>
        <strike val="0"/>
        <condense val="0"/>
        <extend val="0"/>
        <outline val="0"/>
        <shadow val="0"/>
        <u val="none"/>
        <vertAlign val="baseline"/>
        <sz val="12"/>
        <color theme="1"/>
        <name val="Times New Roman"/>
        <family val="1"/>
        <scheme val="none"/>
      </font>
      <numFmt numFmtId="13" formatCode="0%"/>
      <alignment horizontal="center" vertical="center" textRotation="0" wrapText="1" indent="0" justifyLastLine="0" shrinkToFit="0" readingOrder="1"/>
    </dxf>
    <dxf>
      <font>
        <b val="0"/>
        <i val="0"/>
        <strike val="0"/>
        <condense val="0"/>
        <extend val="0"/>
        <outline val="0"/>
        <shadow val="0"/>
        <u val="none"/>
        <vertAlign val="baseline"/>
        <sz val="12"/>
        <color theme="1"/>
        <name val="Times New Roman"/>
        <family val="1"/>
        <scheme val="none"/>
      </font>
      <numFmt numFmtId="165" formatCode="&quot;$&quot;#,##0"/>
      <alignment horizontal="center" vertical="center" textRotation="0" wrapText="1" indent="0" justifyLastLine="0" shrinkToFit="0" readingOrder="1"/>
    </dxf>
    <dxf>
      <font>
        <b val="0"/>
        <i val="0"/>
        <strike val="0"/>
        <condense val="0"/>
        <extend val="0"/>
        <outline val="0"/>
        <shadow val="0"/>
        <u val="none"/>
        <vertAlign val="baseline"/>
        <sz val="12"/>
        <color theme="1"/>
        <name val="Times New Roman"/>
        <family val="1"/>
        <scheme val="none"/>
      </font>
      <numFmt numFmtId="165" formatCode="&quot;$&quot;#,##0"/>
      <alignment horizontal="center" vertical="center" textRotation="0" wrapText="1" indent="0" justifyLastLine="0" shrinkToFit="0" readingOrder="1"/>
    </dxf>
    <dxf>
      <font>
        <b val="0"/>
        <i val="0"/>
        <strike val="0"/>
        <condense val="0"/>
        <extend val="0"/>
        <outline val="0"/>
        <shadow val="0"/>
        <u val="none"/>
        <vertAlign val="baseline"/>
        <sz val="12"/>
        <color theme="1"/>
        <name val="Times New Roman"/>
        <family val="1"/>
        <scheme val="none"/>
      </font>
      <alignment horizontal="center" vertical="center" textRotation="0" wrapText="1" indent="0" justifyLastLine="0" shrinkToFit="0" readingOrder="1"/>
    </dxf>
    <dxf>
      <font>
        <b val="0"/>
        <i val="0"/>
        <strike val="0"/>
        <condense val="0"/>
        <extend val="0"/>
        <outline val="0"/>
        <shadow val="0"/>
        <u val="none"/>
        <vertAlign val="baseline"/>
        <sz val="12"/>
        <color theme="1"/>
        <name val="Times New Roman"/>
        <family val="1"/>
        <scheme val="none"/>
      </font>
      <alignment horizontal="center" vertical="center" textRotation="0" wrapText="1" indent="0" justifyLastLine="0" shrinkToFit="0" readingOrder="1"/>
    </dxf>
    <dxf>
      <font>
        <b val="0"/>
        <i val="0"/>
        <strike val="0"/>
        <condense val="0"/>
        <extend val="0"/>
        <outline val="0"/>
        <shadow val="0"/>
        <u val="none"/>
        <vertAlign val="baseline"/>
        <sz val="12"/>
        <color theme="1"/>
        <name val="Times New Roman"/>
        <family val="1"/>
        <scheme val="none"/>
      </font>
      <alignment horizontal="center" vertical="center" textRotation="0" wrapText="1" indent="0" justifyLastLine="0" shrinkToFit="0" readingOrder="1"/>
    </dxf>
    <dxf>
      <font>
        <b val="0"/>
        <i val="0"/>
        <strike val="0"/>
        <condense val="0"/>
        <extend val="0"/>
        <outline val="0"/>
        <shadow val="0"/>
        <u val="none"/>
        <vertAlign val="baseline"/>
        <sz val="12"/>
        <color theme="1"/>
        <name val="Times New Roman"/>
        <family val="1"/>
        <scheme val="none"/>
      </font>
      <alignment horizontal="center" vertical="center" textRotation="0" wrapText="1" indent="0" justifyLastLine="0" shrinkToFit="0" readingOrder="1"/>
    </dxf>
    <dxf>
      <font>
        <b val="0"/>
        <i val="0"/>
        <strike val="0"/>
        <condense val="0"/>
        <extend val="0"/>
        <outline val="0"/>
        <shadow val="0"/>
        <u val="none"/>
        <vertAlign val="baseline"/>
        <sz val="12"/>
        <color theme="1"/>
        <name val="Times New Roman"/>
        <family val="1"/>
        <scheme val="none"/>
      </font>
      <alignment horizontal="center" vertical="center" textRotation="0" wrapText="1" indent="0" justifyLastLine="0" shrinkToFit="0" readingOrder="1"/>
    </dxf>
    <dxf>
      <font>
        <b val="0"/>
        <i val="0"/>
        <strike val="0"/>
        <condense val="0"/>
        <extend val="0"/>
        <outline val="0"/>
        <shadow val="0"/>
        <u val="none"/>
        <vertAlign val="baseline"/>
        <sz val="12"/>
        <color theme="1"/>
        <name val="Times New Roman"/>
        <family val="1"/>
        <scheme val="none"/>
      </font>
      <alignment horizontal="center" vertical="center" textRotation="0" wrapText="1" indent="0" justifyLastLine="0" shrinkToFit="0" readingOrder="1"/>
    </dxf>
    <dxf>
      <font>
        <b val="0"/>
        <i val="0"/>
        <strike val="0"/>
        <condense val="0"/>
        <extend val="0"/>
        <outline val="0"/>
        <shadow val="0"/>
        <u val="none"/>
        <vertAlign val="baseline"/>
        <sz val="12"/>
        <color theme="1"/>
        <name val="Times New Roman"/>
        <family val="1"/>
        <scheme val="none"/>
      </font>
      <alignment horizontal="center" vertical="center" textRotation="0" wrapText="1" indent="0" justifyLastLine="0" shrinkToFit="0" readingOrder="1"/>
    </dxf>
    <dxf>
      <font>
        <b val="0"/>
        <i val="0"/>
        <strike val="0"/>
        <condense val="0"/>
        <extend val="0"/>
        <outline val="0"/>
        <shadow val="0"/>
        <u val="none"/>
        <vertAlign val="baseline"/>
        <sz val="12"/>
        <color theme="1"/>
        <name val="Times New Roman"/>
        <family val="1"/>
        <scheme val="none"/>
      </font>
      <alignment horizontal="center" vertical="center" textRotation="0" wrapText="1" indent="0" justifyLastLine="0" shrinkToFit="0" readingOrder="1"/>
    </dxf>
    <dxf>
      <font>
        <b val="0"/>
        <i val="0"/>
        <strike val="0"/>
        <condense val="0"/>
        <extend val="0"/>
        <outline val="0"/>
        <shadow val="0"/>
        <u val="none"/>
        <vertAlign val="baseline"/>
        <sz val="12"/>
        <color theme="1"/>
        <name val="Times New Roman"/>
        <family val="1"/>
        <scheme val="none"/>
      </font>
      <alignment horizontal="center" vertical="center" textRotation="0" wrapText="1" indent="0" justifyLastLine="0" shrinkToFit="0" readingOrder="1"/>
    </dxf>
    <dxf>
      <font>
        <b val="0"/>
        <i val="0"/>
        <strike val="0"/>
        <condense val="0"/>
        <extend val="0"/>
        <outline val="0"/>
        <shadow val="0"/>
        <u val="none"/>
        <vertAlign val="baseline"/>
        <sz val="12"/>
        <color theme="1"/>
        <name val="Times New Roman"/>
        <family val="1"/>
        <scheme val="none"/>
      </font>
      <alignment horizontal="center" vertical="center" textRotation="0" wrapText="1" indent="0" justifyLastLine="0" shrinkToFit="0" readingOrder="1"/>
    </dxf>
    <dxf>
      <font>
        <b val="0"/>
        <i val="0"/>
        <strike val="0"/>
        <condense val="0"/>
        <extend val="0"/>
        <outline val="0"/>
        <shadow val="0"/>
        <u val="none"/>
        <vertAlign val="baseline"/>
        <sz val="12"/>
        <color theme="1"/>
        <name val="Times New Roman"/>
        <family val="1"/>
        <scheme val="none"/>
      </font>
      <alignment horizontal="center" vertical="center" textRotation="0" wrapText="1" indent="0" justifyLastLine="0" shrinkToFit="0" readingOrder="1"/>
    </dxf>
    <dxf>
      <font>
        <b val="0"/>
        <i val="0"/>
        <strike val="0"/>
        <condense val="0"/>
        <extend val="0"/>
        <outline val="0"/>
        <shadow val="0"/>
        <u val="none"/>
        <vertAlign val="baseline"/>
        <sz val="12"/>
        <color theme="1"/>
        <name val="Times New Roman"/>
        <family val="1"/>
        <scheme val="none"/>
      </font>
      <alignment horizontal="center" vertical="center" textRotation="0" wrapText="1" indent="0" justifyLastLine="0" shrinkToFit="0" readingOrder="1"/>
    </dxf>
    <dxf>
      <font>
        <b val="0"/>
        <i val="0"/>
        <strike val="0"/>
        <condense val="0"/>
        <extend val="0"/>
        <outline val="0"/>
        <shadow val="0"/>
        <u val="none"/>
        <vertAlign val="baseline"/>
        <sz val="12"/>
        <color theme="1"/>
        <name val="Times New Roman"/>
        <family val="1"/>
        <scheme val="none"/>
      </font>
      <alignment horizontal="center" vertical="center" textRotation="0" wrapText="1" indent="0" justifyLastLine="0" shrinkToFit="0" readingOrder="1"/>
    </dxf>
    <dxf>
      <font>
        <b val="0"/>
        <i val="0"/>
        <strike val="0"/>
        <condense val="0"/>
        <extend val="0"/>
        <outline val="0"/>
        <shadow val="0"/>
        <u val="none"/>
        <vertAlign val="baseline"/>
        <sz val="12"/>
        <color theme="1"/>
        <name val="Times New Roman"/>
        <family val="1"/>
        <scheme val="none"/>
      </font>
      <alignment horizontal="center" vertical="center" textRotation="0" wrapText="1" indent="0" justifyLastLine="0" shrinkToFit="0" readingOrder="1"/>
    </dxf>
    <dxf>
      <font>
        <b val="0"/>
        <i val="0"/>
        <strike val="0"/>
        <condense val="0"/>
        <extend val="0"/>
        <outline val="0"/>
        <shadow val="0"/>
        <u val="none"/>
        <vertAlign val="baseline"/>
        <sz val="12"/>
        <color theme="1"/>
        <name val="Times New Roman"/>
        <family val="1"/>
        <scheme val="none"/>
      </font>
      <alignment horizontal="center" vertical="center" textRotation="0" wrapText="1" indent="0" justifyLastLine="0" shrinkToFit="0" readingOrder="1"/>
    </dxf>
    <dxf>
      <font>
        <b val="0"/>
        <i val="0"/>
        <strike val="0"/>
        <condense val="0"/>
        <extend val="0"/>
        <outline val="0"/>
        <shadow val="0"/>
        <u val="none"/>
        <vertAlign val="baseline"/>
        <sz val="12"/>
        <color theme="1"/>
        <name val="Times New Roman"/>
        <family val="1"/>
        <scheme val="none"/>
      </font>
      <alignment horizontal="center" vertical="center" textRotation="0" wrapText="1" indent="0" justifyLastLine="0" shrinkToFit="0" readingOrder="1"/>
    </dxf>
    <dxf>
      <font>
        <b val="0"/>
        <i val="0"/>
        <strike val="0"/>
        <condense val="0"/>
        <extend val="0"/>
        <outline val="0"/>
        <shadow val="0"/>
        <u val="none"/>
        <vertAlign val="baseline"/>
        <sz val="12"/>
        <color theme="1"/>
        <name val="Times New Roman"/>
        <family val="1"/>
        <scheme val="none"/>
      </font>
      <numFmt numFmtId="19" formatCode="m/d/yyyy"/>
      <alignment horizontal="center" vertical="center" textRotation="0" wrapText="1" indent="0" justifyLastLine="0" shrinkToFit="0" readingOrder="1"/>
    </dxf>
    <dxf>
      <font>
        <b val="0"/>
        <i val="0"/>
        <strike val="0"/>
        <condense val="0"/>
        <extend val="0"/>
        <outline val="0"/>
        <shadow val="0"/>
        <u val="none"/>
        <vertAlign val="baseline"/>
        <sz val="12"/>
        <color theme="1"/>
        <name val="Times New Roman"/>
        <family val="1"/>
        <scheme val="none"/>
      </font>
      <numFmt numFmtId="19" formatCode="m/d/yyyy"/>
      <alignment horizontal="center" vertical="center" textRotation="0" wrapText="1" indent="0" justifyLastLine="0" shrinkToFit="0" readingOrder="1"/>
    </dxf>
    <dxf>
      <font>
        <b val="0"/>
        <i val="0"/>
        <strike val="0"/>
        <condense val="0"/>
        <extend val="0"/>
        <outline val="0"/>
        <shadow val="0"/>
        <u val="none"/>
        <vertAlign val="baseline"/>
        <sz val="12"/>
        <color theme="1"/>
        <name val="Times New Roman"/>
        <family val="1"/>
        <scheme val="none"/>
      </font>
      <alignment horizontal="center" vertical="center" textRotation="0" wrapText="1" indent="0" justifyLastLine="0" shrinkToFit="0" readingOrder="1"/>
    </dxf>
    <dxf>
      <font>
        <b val="0"/>
        <i val="0"/>
        <strike val="0"/>
        <condense val="0"/>
        <extend val="0"/>
        <outline val="0"/>
        <shadow val="0"/>
        <u val="none"/>
        <vertAlign val="baseline"/>
        <sz val="12"/>
        <color theme="1"/>
        <name val="Times New Roman"/>
        <family val="1"/>
        <scheme val="none"/>
      </font>
      <alignment horizontal="center" vertical="center" textRotation="0" wrapText="1" indent="0" justifyLastLine="0" shrinkToFit="0" readingOrder="1"/>
    </dxf>
    <dxf>
      <alignment horizontal="center" vertical="bottom" textRotation="0" wrapText="0"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1" indent="0" justifyLastLine="0" shrinkToFit="0" readingOrder="1"/>
    </dxf>
    <dxf>
      <font>
        <b val="0"/>
        <i/>
        <strike val="0"/>
        <u val="none"/>
        <name val="Calibri"/>
        <family val="2"/>
        <scheme val="minor"/>
      </font>
      <fill>
        <patternFill patternType="lightGray">
          <bgColor theme="4" tint="0.59996337778862885"/>
        </patternFill>
      </fill>
    </dxf>
  </dxfs>
  <tableStyles count="6" defaultTableStyle="TableStyleMedium2" defaultPivotStyle="PivotStyleLight16">
    <tableStyle name="Slicer Style 1" pivot="0" table="0" count="1" xr9:uid="{2A547AD6-EEFB-4D51-B373-27E1D7E70A65}">
      <tableStyleElement type="headerRow" dxfId="65"/>
    </tableStyle>
    <tableStyle name="Slicer Style 2" pivot="0" table="0" count="2" xr9:uid="{1026D83D-DD1E-4CFA-A1E9-502ED8D45204}">
      <tableStyleElement type="headerRow" dxfId="24"/>
    </tableStyle>
    <tableStyle name="Slicer Style 3" pivot="0" table="0" count="1" xr9:uid="{E0EB2621-B53B-4882-A28A-E01577D28615}">
      <tableStyleElement type="wholeTable" dxfId="23"/>
    </tableStyle>
    <tableStyle name="Slicer Style 4" pivot="0" table="0" count="2" xr9:uid="{33BCC93C-6C69-4C31-AD94-75BCFADBEB78}">
      <tableStyleElement type="wholeTable" dxfId="22"/>
    </tableStyle>
    <tableStyle name="Slicer Style 5" pivot="0" table="0" count="2" xr9:uid="{51850048-387A-434D-B91A-D0E53805E6A2}">
      <tableStyleElement type="wholeTable" dxfId="21"/>
    </tableStyle>
    <tableStyle name="Slicer Style 6" pivot="0" table="0" count="3" xr9:uid="{191ECDCC-B98E-4C60-98CE-4E6663603A5A}">
      <tableStyleElement type="wholeTable" dxfId="1"/>
      <tableStyleElement type="headerRow" dxfId="0"/>
    </tableStyle>
  </tableStyles>
  <extLst>
    <ext xmlns:x14="http://schemas.microsoft.com/office/spreadsheetml/2009/9/main" uri="{46F421CA-312F-682f-3DD2-61675219B42D}">
      <x14:dxfs count="4">
        <dxf>
          <font>
            <sz val="9"/>
            <color theme="0"/>
          </font>
          <fill>
            <patternFill>
              <bgColor theme="5"/>
            </patternFill>
          </fill>
        </dxf>
        <dxf>
          <font>
            <color theme="0"/>
          </font>
          <fill>
            <patternFill>
              <bgColor theme="5"/>
            </patternFill>
          </fill>
        </dxf>
        <dxf>
          <fill>
            <patternFill>
              <bgColor theme="7"/>
            </patternFill>
          </fill>
        </dxf>
        <dxf>
          <fill>
            <gradientFill type="path">
              <stop position="0">
                <color theme="0"/>
              </stop>
              <stop position="1">
                <color theme="4"/>
              </stop>
            </gradient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Elements>
            <x14:slicerStyleElement type="selectedItemWithData" dxfId="3"/>
          </x14:slicerStyleElements>
        </x14:slicerStyle>
        <x14:slicerStyle name="Slicer Style 5">
          <x14:slicerStyleElements>
            <x14:slicerStyleElement type="selectedItemWithData" dxfId="2"/>
          </x14:slicerStyleElements>
        </x14:slicerStyle>
        <x14:slicerStyle name="Slicer Style 6">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[Haya_Assignment 7.xlsx]Net Sales!Net Sales by Region &amp; Channel</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200" b="1">
                <a:solidFill>
                  <a:schemeClr val="bg1"/>
                </a:solidFill>
                <a:effectLst/>
                <a:latin typeface="Cambria" panose="02040503050406030204" pitchFamily="18" charset="0"/>
                <a:ea typeface="Cambria" panose="02040503050406030204" pitchFamily="18" charset="0"/>
              </a:rPr>
              <a:t>Net Sales by Region &amp; Channel</a:t>
            </a:r>
            <a:endParaRPr lang="en-US" sz="1200">
              <a:solidFill>
                <a:schemeClr val="bg1"/>
              </a:solidFill>
              <a:effectLst/>
              <a:latin typeface="Cambria" panose="02040503050406030204" pitchFamily="18" charset="0"/>
              <a:ea typeface="Cambria" panose="02040503050406030204" pitchFamily="18" charset="0"/>
            </a:endParaRPr>
          </a:p>
        </c:rich>
      </c:tx>
      <c:overlay val="0"/>
      <c:spPr>
        <a:solidFill>
          <a:schemeClr val="accent1">
            <a:lumMod val="40000"/>
            <a:lumOff val="60000"/>
          </a:schemeClr>
        </a:solid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triangle"/>
          <c:size val="6"/>
          <c:spPr>
            <a:solidFill>
              <a:schemeClr val="accent3"/>
            </a:solidFill>
            <a:ln w="952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x"/>
          <c:size val="6"/>
          <c:spPr>
            <a:noFill/>
            <a:ln w="952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'Net Sales'!$B$3:$B$4</c:f>
              <c:strCache>
                <c:ptCount val="1"/>
                <c:pt idx="0">
                  <c:v>East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'Net Sales'!$A$5:$A$8</c:f>
              <c:strCache>
                <c:ptCount val="3"/>
                <c:pt idx="0">
                  <c:v>Distributor</c:v>
                </c:pt>
                <c:pt idx="1">
                  <c:v>Online</c:v>
                </c:pt>
                <c:pt idx="2">
                  <c:v>Retail</c:v>
                </c:pt>
              </c:strCache>
            </c:strRef>
          </c:cat>
          <c:val>
            <c:numRef>
              <c:f>'Net Sales'!$B$5:$B$8</c:f>
              <c:numCache>
                <c:formatCode>"$"#,##0.00</c:formatCode>
                <c:ptCount val="3"/>
                <c:pt idx="1">
                  <c:v>37742</c:v>
                </c:pt>
                <c:pt idx="2">
                  <c:v>21460</c:v>
                </c:pt>
              </c:numCache>
            </c:numRef>
          </c:val>
          <c:extLst>
            <c:ext xmlns:c16="http://schemas.microsoft.com/office/drawing/2014/chart" uri="{C3380CC4-5D6E-409C-BE32-E72D297353CC}">
              <c16:uniqueId val="{00000000-DB1D-4CF3-A64A-A48157502603}"/>
            </c:ext>
          </c:extLst>
        </c:ser>
        <c:ser>
          <c:idx val="1"/>
          <c:order val="1"/>
          <c:tx>
            <c:strRef>
              <c:f>'Net Sales'!$C$3:$C$4</c:f>
              <c:strCache>
                <c:ptCount val="1"/>
                <c:pt idx="0">
                  <c:v>North</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'Net Sales'!$A$5:$A$8</c:f>
              <c:strCache>
                <c:ptCount val="3"/>
                <c:pt idx="0">
                  <c:v>Distributor</c:v>
                </c:pt>
                <c:pt idx="1">
                  <c:v>Online</c:v>
                </c:pt>
                <c:pt idx="2">
                  <c:v>Retail</c:v>
                </c:pt>
              </c:strCache>
            </c:strRef>
          </c:cat>
          <c:val>
            <c:numRef>
              <c:f>'Net Sales'!$C$5:$C$8</c:f>
              <c:numCache>
                <c:formatCode>"$"#,##0.00</c:formatCode>
                <c:ptCount val="3"/>
                <c:pt idx="0">
                  <c:v>31858</c:v>
                </c:pt>
              </c:numCache>
            </c:numRef>
          </c:val>
          <c:extLst>
            <c:ext xmlns:c16="http://schemas.microsoft.com/office/drawing/2014/chart" uri="{C3380CC4-5D6E-409C-BE32-E72D297353CC}">
              <c16:uniqueId val="{00000005-DB1D-4CF3-A64A-A48157502603}"/>
            </c:ext>
          </c:extLst>
        </c:ser>
        <c:ser>
          <c:idx val="2"/>
          <c:order val="2"/>
          <c:tx>
            <c:strRef>
              <c:f>'Net Sales'!$D$3:$D$4</c:f>
              <c:strCache>
                <c:ptCount val="1"/>
                <c:pt idx="0">
                  <c:v>South</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'Net Sales'!$A$5:$A$8</c:f>
              <c:strCache>
                <c:ptCount val="3"/>
                <c:pt idx="0">
                  <c:v>Distributor</c:v>
                </c:pt>
                <c:pt idx="1">
                  <c:v>Online</c:v>
                </c:pt>
                <c:pt idx="2">
                  <c:v>Retail</c:v>
                </c:pt>
              </c:strCache>
            </c:strRef>
          </c:cat>
          <c:val>
            <c:numRef>
              <c:f>'Net Sales'!$D$5:$D$8</c:f>
              <c:numCache>
                <c:formatCode>"$"#,##0.00</c:formatCode>
                <c:ptCount val="3"/>
                <c:pt idx="0">
                  <c:v>35100</c:v>
                </c:pt>
                <c:pt idx="1">
                  <c:v>3325</c:v>
                </c:pt>
                <c:pt idx="2">
                  <c:v>17670</c:v>
                </c:pt>
              </c:numCache>
            </c:numRef>
          </c:val>
          <c:extLst>
            <c:ext xmlns:c16="http://schemas.microsoft.com/office/drawing/2014/chart" uri="{C3380CC4-5D6E-409C-BE32-E72D297353CC}">
              <c16:uniqueId val="{00000006-DB1D-4CF3-A64A-A48157502603}"/>
            </c:ext>
          </c:extLst>
        </c:ser>
        <c:ser>
          <c:idx val="3"/>
          <c:order val="3"/>
          <c:tx>
            <c:strRef>
              <c:f>'Net Sales'!$E$3:$E$4</c:f>
              <c:strCache>
                <c:ptCount val="1"/>
                <c:pt idx="0">
                  <c:v>West</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'Net Sales'!$A$5:$A$8</c:f>
              <c:strCache>
                <c:ptCount val="3"/>
                <c:pt idx="0">
                  <c:v>Distributor</c:v>
                </c:pt>
                <c:pt idx="1">
                  <c:v>Online</c:v>
                </c:pt>
                <c:pt idx="2">
                  <c:v>Retail</c:v>
                </c:pt>
              </c:strCache>
            </c:strRef>
          </c:cat>
          <c:val>
            <c:numRef>
              <c:f>'Net Sales'!$E$5:$E$8</c:f>
              <c:numCache>
                <c:formatCode>"$"#,##0.00</c:formatCode>
                <c:ptCount val="3"/>
                <c:pt idx="1">
                  <c:v>34532</c:v>
                </c:pt>
                <c:pt idx="2">
                  <c:v>6804.8</c:v>
                </c:pt>
              </c:numCache>
            </c:numRef>
          </c:val>
          <c:extLst>
            <c:ext xmlns:c16="http://schemas.microsoft.com/office/drawing/2014/chart" uri="{C3380CC4-5D6E-409C-BE32-E72D297353CC}">
              <c16:uniqueId val="{00000009-DB1D-4CF3-A64A-A48157502603}"/>
            </c:ext>
          </c:extLst>
        </c:ser>
        <c:dLbls>
          <c:dLblPos val="ctr"/>
          <c:showLegendKey val="0"/>
          <c:showVal val="1"/>
          <c:showCatName val="0"/>
          <c:showSerName val="0"/>
          <c:showPercent val="0"/>
          <c:showBubbleSize val="0"/>
        </c:dLbls>
        <c:gapWidth val="79"/>
        <c:overlap val="100"/>
        <c:axId val="1105688352"/>
        <c:axId val="1105690016"/>
      </c:barChart>
      <c:catAx>
        <c:axId val="11056883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105690016"/>
        <c:crosses val="autoZero"/>
        <c:auto val="1"/>
        <c:lblAlgn val="ctr"/>
        <c:lblOffset val="100"/>
        <c:noMultiLvlLbl val="0"/>
      </c:catAx>
      <c:valAx>
        <c:axId val="1105690016"/>
        <c:scaling>
          <c:orientation val="minMax"/>
        </c:scaling>
        <c:delete val="1"/>
        <c:axPos val="l"/>
        <c:numFmt formatCode="&quot;$&quot;#,##0.00" sourceLinked="1"/>
        <c:majorTickMark val="none"/>
        <c:minorTickMark val="none"/>
        <c:tickLblPos val="nextTo"/>
        <c:crossAx val="1105688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[Haya_Assignment 7.xlsx]Profit Analysis!Profit Analysis by Category</c:name>
    <c:fmtId val="2"/>
  </c:pivotSource>
  <c:chart>
    <c:title>
      <c:tx>
        <c:rich>
          <a:bodyPr rot="0" spcFirstLastPara="1" vertOverflow="ellipsis" vert="horz" wrap="square" anchor="ctr" anchorCtr="1"/>
          <a:lstStyle/>
          <a:p>
            <a:pPr algn="ctr" rtl="0">
              <a:defRPr lang="en-US" sz="1200" b="1" i="0" u="none" strike="noStrike" kern="1200" cap="all" spc="120" normalizeH="0" baseline="0">
                <a:solidFill>
                  <a:schemeClr val="bg1"/>
                </a:solidFill>
                <a:effectLst/>
                <a:latin typeface="Cambria" panose="02040503050406030204" pitchFamily="18" charset="0"/>
                <a:ea typeface="Cambria" panose="02040503050406030204" pitchFamily="18" charset="0"/>
                <a:cs typeface="+mn-cs"/>
              </a:defRPr>
            </a:pPr>
            <a:r>
              <a:rPr lang="en-US" sz="1200" b="1" i="0" u="none" strike="noStrike" kern="1200" cap="all" spc="120" normalizeH="0" baseline="0">
                <a:solidFill>
                  <a:schemeClr val="bg1"/>
                </a:solidFill>
                <a:effectLst/>
                <a:latin typeface="Cambria" panose="02040503050406030204" pitchFamily="18" charset="0"/>
                <a:ea typeface="Cambria" panose="02040503050406030204" pitchFamily="18" charset="0"/>
                <a:cs typeface="+mn-cs"/>
              </a:rPr>
              <a:t>Profit Analysis by Category</a:t>
            </a:r>
          </a:p>
        </c:rich>
      </c:tx>
      <c:overlay val="0"/>
      <c:spPr>
        <a:solidFill>
          <a:schemeClr val="accent1">
            <a:lumMod val="40000"/>
            <a:lumOff val="60000"/>
          </a:schemeClr>
        </a:solidFill>
        <a:ln>
          <a:noFill/>
        </a:ln>
        <a:effectLst/>
      </c:spPr>
      <c:txPr>
        <a:bodyPr rot="0" spcFirstLastPara="1" vertOverflow="ellipsis" vert="horz" wrap="square" anchor="ctr" anchorCtr="1"/>
        <a:lstStyle/>
        <a:p>
          <a:pPr algn="ctr" rtl="0">
            <a:defRPr lang="en-US" sz="1200" b="1" i="0" u="none" strike="noStrike" kern="1200" cap="all" spc="120" normalizeH="0" baseline="0">
              <a:solidFill>
                <a:schemeClr val="bg1"/>
              </a:solidFill>
              <a:effectLst/>
              <a:latin typeface="Cambria" panose="02040503050406030204" pitchFamily="18" charset="0"/>
              <a:ea typeface="Cambria" panose="02040503050406030204" pitchFamily="18" charset="0"/>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25"/>
              <c:y val="-7.87037037037037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0.15277777777777779"/>
              <c:y val="-7.407407407407415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25"/>
              <c:y val="-7.87037037037037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5277777777777779"/>
              <c:y val="-7.407407407407415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6368484645415454"/>
              <c:y val="-4.63411733727458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5277777777777779"/>
              <c:y val="-7.407407407407415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'Profit Analysis'!$B$3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81E-4E8A-9F07-D88E47A0278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81E-4E8A-9F07-D88E47A0278C}"/>
              </c:ext>
            </c:extLst>
          </c:dPt>
          <c:dLbls>
            <c:dLbl>
              <c:idx val="0"/>
              <c:layout>
                <c:manualLayout>
                  <c:x val="0.16368484645415454"/>
                  <c:y val="-4.6341173372745882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81E-4E8A-9F07-D88E47A0278C}"/>
                </c:ext>
              </c:extLst>
            </c:dLbl>
            <c:dLbl>
              <c:idx val="1"/>
              <c:layout>
                <c:manualLayout>
                  <c:x val="-0.15277777777777779"/>
                  <c:y val="-7.4074074074074153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81E-4E8A-9F07-D88E47A0278C}"/>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'Profit Analysis'!$A$4:$A$6</c:f>
              <c:strCache>
                <c:ptCount val="2"/>
                <c:pt idx="0">
                  <c:v>Accessories</c:v>
                </c:pt>
                <c:pt idx="1">
                  <c:v>Electronics</c:v>
                </c:pt>
              </c:strCache>
            </c:strRef>
          </c:cat>
          <c:val>
            <c:numRef>
              <c:f>'Profit Analysis'!$B$4:$B$6</c:f>
              <c:numCache>
                <c:formatCode>"$"#,##0.00</c:formatCode>
                <c:ptCount val="2"/>
                <c:pt idx="0">
                  <c:v>5712.63</c:v>
                </c:pt>
                <c:pt idx="1">
                  <c:v>34434</c:v>
                </c:pt>
              </c:numCache>
            </c:numRef>
          </c:val>
          <c:extLst>
            <c:ext xmlns:c16="http://schemas.microsoft.com/office/drawing/2014/chart" uri="{C3380CC4-5D6E-409C-BE32-E72D297353CC}">
              <c16:uniqueId val="{00000004-B81E-4E8A-9F07-D88E47A0278C}"/>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[Haya_Assignment 7.xlsx]Sales Band Distribution!Sales Band Distribution</c:name>
    <c:fmtId val="2"/>
  </c:pivotSource>
  <c:chart>
    <c:title>
      <c:tx>
        <c:rich>
          <a:bodyPr rot="0" spcFirstLastPara="1" vertOverflow="ellipsis" vert="horz" wrap="square" anchor="ctr" anchorCtr="1"/>
          <a:lstStyle/>
          <a:p>
            <a:pPr algn="ctr" rtl="0">
              <a:defRPr lang="en-US" sz="1200" b="1" i="0" u="none" strike="noStrike" kern="1200" cap="all" spc="120" normalizeH="0" baseline="0">
                <a:solidFill>
                  <a:schemeClr val="bg1"/>
                </a:solidFill>
                <a:effectLst/>
                <a:latin typeface="Cambria" panose="02040503050406030204" pitchFamily="18" charset="0"/>
                <a:ea typeface="Cambria" panose="02040503050406030204" pitchFamily="18" charset="0"/>
                <a:cs typeface="+mn-cs"/>
              </a:defRPr>
            </a:pPr>
            <a:r>
              <a:rPr lang="en-US" sz="1200" b="1" i="0" u="none" strike="noStrike" kern="1200" cap="all" spc="120" normalizeH="0" baseline="0">
                <a:solidFill>
                  <a:schemeClr val="bg1"/>
                </a:solidFill>
                <a:effectLst/>
                <a:latin typeface="Cambria" panose="02040503050406030204" pitchFamily="18" charset="0"/>
                <a:ea typeface="Cambria" panose="02040503050406030204" pitchFamily="18" charset="0"/>
                <a:cs typeface="+mn-cs"/>
              </a:rPr>
              <a:t>Sales Band Distribution</a:t>
            </a:r>
          </a:p>
        </c:rich>
      </c:tx>
      <c:overlay val="0"/>
      <c:spPr>
        <a:solidFill>
          <a:schemeClr val="accent1">
            <a:lumMod val="40000"/>
            <a:lumOff val="60000"/>
          </a:schemeClr>
        </a:solidFill>
        <a:ln>
          <a:noFill/>
        </a:ln>
        <a:effectLst/>
      </c:spPr>
      <c:txPr>
        <a:bodyPr rot="0" spcFirstLastPara="1" vertOverflow="ellipsis" vert="horz" wrap="square" anchor="ctr" anchorCtr="1"/>
        <a:lstStyle/>
        <a:p>
          <a:pPr algn="ctr" rtl="0">
            <a:defRPr lang="en-US" sz="1200" b="1" i="0" u="none" strike="noStrike" kern="1200" cap="all" spc="120" normalizeH="0" baseline="0">
              <a:solidFill>
                <a:schemeClr val="bg1"/>
              </a:solidFill>
              <a:effectLst/>
              <a:latin typeface="Cambria" panose="02040503050406030204" pitchFamily="18" charset="0"/>
              <a:ea typeface="Cambria" panose="02040503050406030204" pitchFamily="18" charset="0"/>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'Sales Band Distribution'!$B$3</c:f>
              <c:strCache>
                <c:ptCount val="1"/>
                <c:pt idx="0">
                  <c:v>Count of OrderID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Band Distribution'!$A$4:$A$7</c:f>
              <c:strCache>
                <c:ptCount val="3"/>
                <c:pt idx="0">
                  <c:v>High</c:v>
                </c:pt>
                <c:pt idx="1">
                  <c:v>Low</c:v>
                </c:pt>
                <c:pt idx="2">
                  <c:v>Medium</c:v>
                </c:pt>
              </c:strCache>
            </c:strRef>
          </c:cat>
          <c:val>
            <c:numRef>
              <c:f>'Sales Band Distribution'!$B$4:$B$7</c:f>
              <c:numCache>
                <c:formatCode>General</c:formatCode>
                <c:ptCount val="3"/>
                <c:pt idx="0">
                  <c:v>3</c:v>
                </c:pt>
                <c:pt idx="1">
                  <c:v>5</c:v>
                </c:pt>
                <c:pt idx="2">
                  <c:v>4</c:v>
                </c:pt>
              </c:numCache>
            </c:numRef>
          </c:val>
          <c:extLst>
            <c:ext xmlns:c16="http://schemas.microsoft.com/office/drawing/2014/chart" uri="{C3380CC4-5D6E-409C-BE32-E72D297353CC}">
              <c16:uniqueId val="{00000000-9812-4098-8938-9DE23217A40D}"/>
            </c:ext>
          </c:extLst>
        </c:ser>
        <c:ser>
          <c:idx val="1"/>
          <c:order val="1"/>
          <c:tx>
            <c:strRef>
              <c:f>'Sales Band Distribution'!$C$3</c:f>
              <c:strCache>
                <c:ptCount val="1"/>
                <c:pt idx="0">
                  <c:v>Sum of Net Sales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Band Distribution'!$A$4:$A$7</c:f>
              <c:strCache>
                <c:ptCount val="3"/>
                <c:pt idx="0">
                  <c:v>High</c:v>
                </c:pt>
                <c:pt idx="1">
                  <c:v>Low</c:v>
                </c:pt>
                <c:pt idx="2">
                  <c:v>Medium</c:v>
                </c:pt>
              </c:strCache>
            </c:strRef>
          </c:cat>
          <c:val>
            <c:numRef>
              <c:f>'Sales Band Distribution'!$C$4:$C$7</c:f>
              <c:numCache>
                <c:formatCode>"$"#,##0.00</c:formatCode>
                <c:ptCount val="3"/>
                <c:pt idx="0">
                  <c:v>104782</c:v>
                </c:pt>
                <c:pt idx="1">
                  <c:v>16321.8</c:v>
                </c:pt>
                <c:pt idx="2">
                  <c:v>67388</c:v>
                </c:pt>
              </c:numCache>
            </c:numRef>
          </c:val>
          <c:extLst>
            <c:ext xmlns:c16="http://schemas.microsoft.com/office/drawing/2014/chart" uri="{C3380CC4-5D6E-409C-BE32-E72D297353CC}">
              <c16:uniqueId val="{00000001-9812-4098-8938-9DE23217A40D}"/>
            </c:ext>
          </c:extLst>
        </c:ser>
        <c:dLbls>
          <c:dLblPos val="ctr"/>
          <c:showLegendKey val="0"/>
          <c:showVal val="1"/>
          <c:showCatName val="0"/>
          <c:showSerName val="0"/>
          <c:showPercent val="0"/>
          <c:showBubbleSize val="0"/>
        </c:dLbls>
        <c:gapWidth val="219"/>
        <c:overlap val="100"/>
        <c:axId val="753786448"/>
        <c:axId val="753786032"/>
      </c:barChart>
      <c:catAx>
        <c:axId val="753786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786032"/>
        <c:crosses val="autoZero"/>
        <c:auto val="1"/>
        <c:lblAlgn val="ctr"/>
        <c:lblOffset val="100"/>
        <c:noMultiLvlLbl val="0"/>
      </c:catAx>
      <c:valAx>
        <c:axId val="753786032"/>
        <c:scaling>
          <c:logBase val="10"/>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786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[Haya_Assignment 7.xlsx]Salesperson Performance!Salesperson Performance</c:name>
    <c:fmtId val="2"/>
  </c:pivotSource>
  <c:chart>
    <c:title>
      <c:tx>
        <c:rich>
          <a:bodyPr rot="0" spcFirstLastPara="1" vertOverflow="ellipsis" vert="horz" wrap="square" anchor="ctr" anchorCtr="1"/>
          <a:lstStyle/>
          <a:p>
            <a:pPr algn="ctr" rtl="0">
              <a:defRPr lang="en-US" sz="1200" b="1" i="0" u="none" strike="noStrike" kern="1200" cap="all" spc="120" normalizeH="0" baseline="0">
                <a:solidFill>
                  <a:schemeClr val="bg1"/>
                </a:solidFill>
                <a:effectLst/>
                <a:latin typeface="Cambria" panose="02040503050406030204" pitchFamily="18" charset="0"/>
                <a:ea typeface="Cambria" panose="02040503050406030204" pitchFamily="18" charset="0"/>
                <a:cs typeface="+mn-cs"/>
              </a:defRPr>
            </a:pPr>
            <a:r>
              <a:rPr lang="en-US" sz="1200" b="1" i="0" u="none" strike="noStrike" kern="1200" cap="all" spc="120" normalizeH="0" baseline="0">
                <a:solidFill>
                  <a:schemeClr val="bg1"/>
                </a:solidFill>
                <a:effectLst/>
                <a:latin typeface="Cambria" panose="02040503050406030204" pitchFamily="18" charset="0"/>
                <a:ea typeface="Cambria" panose="02040503050406030204" pitchFamily="18" charset="0"/>
                <a:cs typeface="+mn-cs"/>
              </a:rPr>
              <a:t>Salesperson Performance</a:t>
            </a:r>
          </a:p>
        </c:rich>
      </c:tx>
      <c:layout>
        <c:manualLayout>
          <c:xMode val="edge"/>
          <c:yMode val="edge"/>
          <c:x val="0.27675295628369034"/>
          <c:y val="1.7049464970724813E-2"/>
        </c:manualLayout>
      </c:layout>
      <c:overlay val="0"/>
      <c:spPr>
        <a:solidFill>
          <a:schemeClr val="accent1">
            <a:lumMod val="40000"/>
            <a:lumOff val="60000"/>
          </a:schemeClr>
        </a:solidFill>
        <a:ln>
          <a:noFill/>
        </a:ln>
        <a:effectLst/>
      </c:spPr>
      <c:txPr>
        <a:bodyPr rot="0" spcFirstLastPara="1" vertOverflow="ellipsis" vert="horz" wrap="square" anchor="ctr" anchorCtr="1"/>
        <a:lstStyle/>
        <a:p>
          <a:pPr algn="ctr" rtl="0">
            <a:defRPr lang="en-US" sz="1200" b="1" i="0" u="none" strike="noStrike" kern="1200" cap="all" spc="120" normalizeH="0" baseline="0">
              <a:solidFill>
                <a:schemeClr val="bg1"/>
              </a:solidFill>
              <a:effectLst/>
              <a:latin typeface="Cambria" panose="02040503050406030204" pitchFamily="18" charset="0"/>
              <a:ea typeface="Cambria" panose="02040503050406030204" pitchFamily="18" charset="0"/>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'Salesperson Performance'!$B$4</c:f>
              <c:strCache>
                <c:ptCount val="1"/>
                <c:pt idx="0">
                  <c:v>Sum of Net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'Salesperson Performance'!$A$5:$A$10</c:f>
              <c:strCache>
                <c:ptCount val="5"/>
                <c:pt idx="0">
                  <c:v>Ahmed</c:v>
                </c:pt>
                <c:pt idx="1">
                  <c:v>Lina</c:v>
                </c:pt>
                <c:pt idx="2">
                  <c:v>Mona</c:v>
                </c:pt>
                <c:pt idx="3">
                  <c:v>Omar</c:v>
                </c:pt>
                <c:pt idx="4">
                  <c:v>Sara</c:v>
                </c:pt>
              </c:strCache>
            </c:strRef>
          </c:cat>
          <c:val>
            <c:numRef>
              <c:f>'Salesperson Performance'!$B$5:$B$10</c:f>
              <c:numCache>
                <c:formatCode>"$"#,##0.00</c:formatCode>
                <c:ptCount val="5"/>
                <c:pt idx="0">
                  <c:v>38750</c:v>
                </c:pt>
                <c:pt idx="1">
                  <c:v>56095</c:v>
                </c:pt>
                <c:pt idx="2">
                  <c:v>20452</c:v>
                </c:pt>
                <c:pt idx="3">
                  <c:v>31858</c:v>
                </c:pt>
                <c:pt idx="4">
                  <c:v>41336.800000000003</c:v>
                </c:pt>
              </c:numCache>
            </c:numRef>
          </c:val>
          <c:extLst>
            <c:ext xmlns:c16="http://schemas.microsoft.com/office/drawing/2014/chart" uri="{C3380CC4-5D6E-409C-BE32-E72D297353CC}">
              <c16:uniqueId val="{00000000-AF7A-4B22-9B0F-261F68289447}"/>
            </c:ext>
          </c:extLst>
        </c:ser>
        <c:ser>
          <c:idx val="1"/>
          <c:order val="1"/>
          <c:tx>
            <c:strRef>
              <c:f>'Salesperson Performance'!$C$4</c:f>
              <c:strCache>
                <c:ptCount val="1"/>
                <c:pt idx="0">
                  <c:v>Sum of Profit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'Salesperson Performance'!$A$5:$A$10</c:f>
              <c:strCache>
                <c:ptCount val="5"/>
                <c:pt idx="0">
                  <c:v>Ahmed</c:v>
                </c:pt>
                <c:pt idx="1">
                  <c:v>Lina</c:v>
                </c:pt>
                <c:pt idx="2">
                  <c:v>Mona</c:v>
                </c:pt>
                <c:pt idx="3">
                  <c:v>Omar</c:v>
                </c:pt>
                <c:pt idx="4">
                  <c:v>Sara</c:v>
                </c:pt>
              </c:strCache>
            </c:strRef>
          </c:cat>
          <c:val>
            <c:numRef>
              <c:f>'Salesperson Performance'!$C$5:$C$10</c:f>
              <c:numCache>
                <c:formatCode>"$"#,##0.00</c:formatCode>
                <c:ptCount val="5"/>
                <c:pt idx="0">
                  <c:v>8290</c:v>
                </c:pt>
                <c:pt idx="1">
                  <c:v>11717.75</c:v>
                </c:pt>
                <c:pt idx="2">
                  <c:v>4479.2</c:v>
                </c:pt>
                <c:pt idx="3">
                  <c:v>6371.6</c:v>
                </c:pt>
                <c:pt idx="4">
                  <c:v>9288.08</c:v>
                </c:pt>
              </c:numCache>
            </c:numRef>
          </c:val>
          <c:extLst>
            <c:ext xmlns:c16="http://schemas.microsoft.com/office/drawing/2014/chart" uri="{C3380CC4-5D6E-409C-BE32-E72D297353CC}">
              <c16:uniqueId val="{00000001-AF7A-4B22-9B0F-261F68289447}"/>
            </c:ext>
          </c:extLst>
        </c:ser>
        <c:dLbls>
          <c:dLblPos val="outEnd"/>
          <c:showLegendKey val="0"/>
          <c:showVal val="1"/>
          <c:showCatName val="0"/>
          <c:showSerName val="0"/>
          <c:showPercent val="0"/>
          <c:showBubbleSize val="0"/>
        </c:dLbls>
        <c:gapWidth val="182"/>
        <c:axId val="1237535936"/>
        <c:axId val="1237534272"/>
      </c:barChart>
      <c:catAx>
        <c:axId val="1237535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7534272"/>
        <c:crosses val="autoZero"/>
        <c:auto val="1"/>
        <c:lblAlgn val="ctr"/>
        <c:lblOffset val="100"/>
        <c:noMultiLvlLbl val="0"/>
      </c:catAx>
      <c:valAx>
        <c:axId val="1237534272"/>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7535936"/>
        <c:crosses val="autoZero"/>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[Haya_Assignment 7.xlsx]Time Analysis!Time Analysis</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200" b="1" i="0" u="none" strike="noStrike" kern="1200" cap="all" spc="120" normalizeH="0" baseline="0">
                <a:solidFill>
                  <a:schemeClr val="bg1"/>
                </a:solidFill>
                <a:effectLst/>
                <a:latin typeface="Cambria" panose="02040503050406030204" pitchFamily="18" charset="0"/>
                <a:ea typeface="Cambria" panose="02040503050406030204" pitchFamily="18" charset="0"/>
                <a:cs typeface="+mn-cs"/>
              </a:defRPr>
            </a:pPr>
            <a:r>
              <a:rPr lang="en-US" sz="1200" b="1" i="0" u="none" strike="noStrike" kern="1200" cap="all" spc="120" normalizeH="0" baseline="0">
                <a:solidFill>
                  <a:schemeClr val="bg1"/>
                </a:solidFill>
                <a:effectLst/>
                <a:latin typeface="Cambria" panose="02040503050406030204" pitchFamily="18" charset="0"/>
                <a:ea typeface="Cambria" panose="02040503050406030204" pitchFamily="18" charset="0"/>
                <a:cs typeface="+mn-cs"/>
              </a:rPr>
              <a:t>Monthly Net Sales</a:t>
            </a:r>
          </a:p>
        </c:rich>
      </c:tx>
      <c:layout>
        <c:manualLayout>
          <c:xMode val="edge"/>
          <c:yMode val="edge"/>
          <c:x val="0.36181583136571965"/>
          <c:y val="2.8567939259958437E-2"/>
        </c:manualLayout>
      </c:layout>
      <c:overlay val="0"/>
      <c:spPr>
        <a:solidFill>
          <a:schemeClr val="accent1">
            <a:lumMod val="40000"/>
            <a:lumOff val="60000"/>
          </a:schemeClr>
        </a:solid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200" b="1" i="0" u="none" strike="noStrike" kern="1200" cap="all" spc="120" normalizeH="0" baseline="0">
              <a:solidFill>
                <a:schemeClr val="bg1"/>
              </a:solidFill>
              <a:effectLst/>
              <a:latin typeface="Cambria" panose="02040503050406030204" pitchFamily="18" charset="0"/>
              <a:ea typeface="Cambria" panose="02040503050406030204" pitchFamily="18" charset="0"/>
              <a:cs typeface="+mn-cs"/>
            </a:defRPr>
          </a:pPr>
          <a:endParaRPr lang="en-US"/>
        </a:p>
      </c:txPr>
    </c:title>
    <c:autoTitleDeleted val="0"/>
    <c:pivotFmts>
      <c:pivotFmt>
        <c:idx val="0"/>
        <c:spPr>
          <a:solidFill>
            <a:schemeClr val="accent4"/>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'Time Analysis'!$B$3</c:f>
              <c:strCache>
                <c:ptCount val="1"/>
                <c:pt idx="0">
                  <c:v>Total</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'Time Analysis'!$A$4:$A$16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'Time Analysis'!$B$4:$B$16</c:f>
              <c:numCache>
                <c:formatCode>"$"#,##0.00</c:formatCode>
                <c:ptCount val="12"/>
                <c:pt idx="0">
                  <c:v>35150</c:v>
                </c:pt>
                <c:pt idx="1">
                  <c:v>3120</c:v>
                </c:pt>
                <c:pt idx="2">
                  <c:v>2592</c:v>
                </c:pt>
                <c:pt idx="3">
                  <c:v>19530</c:v>
                </c:pt>
                <c:pt idx="4">
                  <c:v>17670</c:v>
                </c:pt>
                <c:pt idx="5">
                  <c:v>34532</c:v>
                </c:pt>
                <c:pt idx="6">
                  <c:v>3600</c:v>
                </c:pt>
                <c:pt idx="7">
                  <c:v>12328</c:v>
                </c:pt>
                <c:pt idx="8">
                  <c:v>3325</c:v>
                </c:pt>
                <c:pt idx="9">
                  <c:v>17860</c:v>
                </c:pt>
                <c:pt idx="10">
                  <c:v>3684.8</c:v>
                </c:pt>
                <c:pt idx="11">
                  <c:v>35100</c:v>
                </c:pt>
              </c:numCache>
            </c:numRef>
          </c:val>
          <c:smooth val="0"/>
          <c:extLst>
            <c:ext xmlns:c16="http://schemas.microsoft.com/office/drawing/2014/chart" uri="{C3380CC4-5D6E-409C-BE32-E72D297353CC}">
              <c16:uniqueId val="{00000000-87E8-4472-8ACE-B169AA8A6F48}"/>
            </c:ext>
          </c:extLst>
        </c:ser>
        <c:dLbls>
          <c:dLblPos val="t"/>
          <c:showLegendKey val="0"/>
          <c:showVal val="1"/>
          <c:showCatName val="0"/>
          <c:showSerName val="0"/>
          <c:showPercent val="0"/>
          <c:showBubbleSize val="0"/>
        </c:dLbls>
        <c:smooth val="0"/>
        <c:axId val="1046139392"/>
        <c:axId val="1046138560"/>
      </c:lineChart>
      <c:catAx>
        <c:axId val="1046139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138560"/>
        <c:crosses val="autoZero"/>
        <c:auto val="1"/>
        <c:lblAlgn val="ctr"/>
        <c:lblOffset val="100"/>
        <c:noMultiLvlLbl val="0"/>
      </c:catAx>
      <c:valAx>
        <c:axId val="10461385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139392"/>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[Haya_Assignment 7.xlsx]Net Sales!Net Sales by Region &amp; Channel</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400" b="1">
                <a:effectLst/>
                <a:latin typeface="Cambria" panose="02040503050406030204" pitchFamily="18" charset="0"/>
                <a:ea typeface="Cambria" panose="02040503050406030204" pitchFamily="18" charset="0"/>
              </a:rPr>
              <a:t>Net Sales by Region &amp; Channel</a:t>
            </a:r>
            <a:endParaRPr lang="en-US" sz="1400">
              <a:effectLst/>
              <a:latin typeface="Cambria" panose="02040503050406030204" pitchFamily="18" charset="0"/>
              <a:ea typeface="Cambria" panose="020405030504060302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'Net Sales'!$B$3:$B$4</c:f>
              <c:strCache>
                <c:ptCount val="1"/>
                <c:pt idx="0">
                  <c:v>East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'Net Sales'!$A$5:$A$8</c:f>
              <c:strCache>
                <c:ptCount val="3"/>
                <c:pt idx="0">
                  <c:v>Distributor</c:v>
                </c:pt>
                <c:pt idx="1">
                  <c:v>Online</c:v>
                </c:pt>
                <c:pt idx="2">
                  <c:v>Retail</c:v>
                </c:pt>
              </c:strCache>
            </c:strRef>
          </c:cat>
          <c:val>
            <c:numRef>
              <c:f>'Net Sales'!$B$5:$B$8</c:f>
              <c:numCache>
                <c:formatCode>"$"#,##0.00</c:formatCode>
                <c:ptCount val="3"/>
                <c:pt idx="1">
                  <c:v>37742</c:v>
                </c:pt>
                <c:pt idx="2">
                  <c:v>21460</c:v>
                </c:pt>
              </c:numCache>
            </c:numRef>
          </c:val>
          <c:extLst>
            <c:ext xmlns:c16="http://schemas.microsoft.com/office/drawing/2014/chart" uri="{C3380CC4-5D6E-409C-BE32-E72D297353CC}">
              <c16:uniqueId val="{00000000-DD5E-4410-9D2E-8CB582203408}"/>
            </c:ext>
          </c:extLst>
        </c:ser>
        <c:ser>
          <c:idx val="1"/>
          <c:order val="1"/>
          <c:tx>
            <c:strRef>
              <c:f>'Net Sales'!$C$3:$C$4</c:f>
              <c:strCache>
                <c:ptCount val="1"/>
                <c:pt idx="0">
                  <c:v>North</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'Net Sales'!$A$5:$A$8</c:f>
              <c:strCache>
                <c:ptCount val="3"/>
                <c:pt idx="0">
                  <c:v>Distributor</c:v>
                </c:pt>
                <c:pt idx="1">
                  <c:v>Online</c:v>
                </c:pt>
                <c:pt idx="2">
                  <c:v>Retail</c:v>
                </c:pt>
              </c:strCache>
            </c:strRef>
          </c:cat>
          <c:val>
            <c:numRef>
              <c:f>'Net Sales'!$C$5:$C$8</c:f>
              <c:numCache>
                <c:formatCode>"$"#,##0.00</c:formatCode>
                <c:ptCount val="3"/>
                <c:pt idx="0">
                  <c:v>31858</c:v>
                </c:pt>
              </c:numCache>
            </c:numRef>
          </c:val>
          <c:extLst>
            <c:ext xmlns:c16="http://schemas.microsoft.com/office/drawing/2014/chart" uri="{C3380CC4-5D6E-409C-BE32-E72D297353CC}">
              <c16:uniqueId val="{00000005-DD5E-4410-9D2E-8CB582203408}"/>
            </c:ext>
          </c:extLst>
        </c:ser>
        <c:ser>
          <c:idx val="2"/>
          <c:order val="2"/>
          <c:tx>
            <c:strRef>
              <c:f>'Net Sales'!$D$3:$D$4</c:f>
              <c:strCache>
                <c:ptCount val="1"/>
                <c:pt idx="0">
                  <c:v>South</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'Net Sales'!$A$5:$A$8</c:f>
              <c:strCache>
                <c:ptCount val="3"/>
                <c:pt idx="0">
                  <c:v>Distributor</c:v>
                </c:pt>
                <c:pt idx="1">
                  <c:v>Online</c:v>
                </c:pt>
                <c:pt idx="2">
                  <c:v>Retail</c:v>
                </c:pt>
              </c:strCache>
            </c:strRef>
          </c:cat>
          <c:val>
            <c:numRef>
              <c:f>'Net Sales'!$D$5:$D$8</c:f>
              <c:numCache>
                <c:formatCode>"$"#,##0.00</c:formatCode>
                <c:ptCount val="3"/>
                <c:pt idx="0">
                  <c:v>35100</c:v>
                </c:pt>
                <c:pt idx="1">
                  <c:v>3325</c:v>
                </c:pt>
                <c:pt idx="2">
                  <c:v>17670</c:v>
                </c:pt>
              </c:numCache>
            </c:numRef>
          </c:val>
          <c:extLst>
            <c:ext xmlns:c16="http://schemas.microsoft.com/office/drawing/2014/chart" uri="{C3380CC4-5D6E-409C-BE32-E72D297353CC}">
              <c16:uniqueId val="{00000006-DD5E-4410-9D2E-8CB582203408}"/>
            </c:ext>
          </c:extLst>
        </c:ser>
        <c:ser>
          <c:idx val="3"/>
          <c:order val="3"/>
          <c:tx>
            <c:strRef>
              <c:f>'Net Sales'!$E$3:$E$4</c:f>
              <c:strCache>
                <c:ptCount val="1"/>
                <c:pt idx="0">
                  <c:v>West</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'Net Sales'!$A$5:$A$8</c:f>
              <c:strCache>
                <c:ptCount val="3"/>
                <c:pt idx="0">
                  <c:v>Distributor</c:v>
                </c:pt>
                <c:pt idx="1">
                  <c:v>Online</c:v>
                </c:pt>
                <c:pt idx="2">
                  <c:v>Retail</c:v>
                </c:pt>
              </c:strCache>
            </c:strRef>
          </c:cat>
          <c:val>
            <c:numRef>
              <c:f>'Net Sales'!$E$5:$E$8</c:f>
              <c:numCache>
                <c:formatCode>"$"#,##0.00</c:formatCode>
                <c:ptCount val="3"/>
                <c:pt idx="1">
                  <c:v>34532</c:v>
                </c:pt>
                <c:pt idx="2">
                  <c:v>6804.8</c:v>
                </c:pt>
              </c:numCache>
            </c:numRef>
          </c:val>
          <c:extLst>
            <c:ext xmlns:c16="http://schemas.microsoft.com/office/drawing/2014/chart" uri="{C3380CC4-5D6E-409C-BE32-E72D297353CC}">
              <c16:uniqueId val="{00000009-DD5E-4410-9D2E-8CB582203408}"/>
            </c:ext>
          </c:extLst>
        </c:ser>
        <c:dLbls>
          <c:dLblPos val="ctr"/>
          <c:showLegendKey val="0"/>
          <c:showVal val="1"/>
          <c:showCatName val="0"/>
          <c:showSerName val="0"/>
          <c:showPercent val="0"/>
          <c:showBubbleSize val="0"/>
        </c:dLbls>
        <c:gapWidth val="79"/>
        <c:overlap val="100"/>
        <c:axId val="1105688352"/>
        <c:axId val="1105690016"/>
      </c:barChart>
      <c:catAx>
        <c:axId val="11056883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105690016"/>
        <c:crosses val="autoZero"/>
        <c:auto val="1"/>
        <c:lblAlgn val="ctr"/>
        <c:lblOffset val="100"/>
        <c:noMultiLvlLbl val="0"/>
      </c:catAx>
      <c:valAx>
        <c:axId val="1105690016"/>
        <c:scaling>
          <c:orientation val="minMax"/>
        </c:scaling>
        <c:delete val="1"/>
        <c:axPos val="l"/>
        <c:numFmt formatCode="&quot;$&quot;#,##0.00" sourceLinked="1"/>
        <c:majorTickMark val="none"/>
        <c:minorTickMark val="none"/>
        <c:tickLblPos val="nextTo"/>
        <c:crossAx val="1105688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[Haya_Assignment 7.xlsx]Profit Analysis!Profit Analysis by 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Cambria" panose="02040503050406030204" pitchFamily="18" charset="0"/>
                <a:ea typeface="Cambria" panose="02040503050406030204" pitchFamily="18" charset="0"/>
              </a:rPr>
              <a:t>Profit Analysis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25"/>
              <c:y val="-7.87037037037037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5277777777777779"/>
              <c:y val="-7.407407407407415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'Profit Analysis'!$B$3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740E-42D3-A47A-DDF26F9CF95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40E-42D3-A47A-DDF26F9CF950}"/>
              </c:ext>
            </c:extLst>
          </c:dPt>
          <c:dLbls>
            <c:dLbl>
              <c:idx val="0"/>
              <c:layout>
                <c:manualLayout>
                  <c:x val="0.125"/>
                  <c:y val="-7.8703703703703706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740E-42D3-A47A-DDF26F9CF950}"/>
                </c:ext>
              </c:extLst>
            </c:dLbl>
            <c:dLbl>
              <c:idx val="1"/>
              <c:layout>
                <c:manualLayout>
                  <c:x val="-0.15277777777777779"/>
                  <c:y val="-7.4074074074074153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40E-42D3-A47A-DDF26F9CF950}"/>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'Profit Analysis'!$A$4:$A$6</c:f>
              <c:strCache>
                <c:ptCount val="2"/>
                <c:pt idx="0">
                  <c:v>Accessories</c:v>
                </c:pt>
                <c:pt idx="1">
                  <c:v>Electronics</c:v>
                </c:pt>
              </c:strCache>
            </c:strRef>
          </c:cat>
          <c:val>
            <c:numRef>
              <c:f>'Profit Analysis'!$B$4:$B$6</c:f>
              <c:numCache>
                <c:formatCode>"$"#,##0.00</c:formatCode>
                <c:ptCount val="2"/>
                <c:pt idx="0">
                  <c:v>5712.63</c:v>
                </c:pt>
                <c:pt idx="1">
                  <c:v>34434</c:v>
                </c:pt>
              </c:numCache>
            </c:numRef>
          </c:val>
          <c:extLst>
            <c:ext xmlns:c16="http://schemas.microsoft.com/office/drawing/2014/chart" uri="{C3380CC4-5D6E-409C-BE32-E72D297353CC}">
              <c16:uniqueId val="{00000000-740E-42D3-A47A-DDF26F9CF950}"/>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[Haya_Assignment 7.xlsx]Salesperson Performance!Salesperson Performance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effectLst/>
                <a:latin typeface="Cambria" panose="02040503050406030204" pitchFamily="18" charset="0"/>
                <a:ea typeface="Cambria" panose="02040503050406030204" pitchFamily="18" charset="0"/>
              </a:rPr>
              <a:t>Salesperson Performance</a:t>
            </a:r>
            <a:endParaRPr lang="en-US" sz="1400">
              <a:effectLst/>
              <a:latin typeface="Cambria" panose="02040503050406030204" pitchFamily="18" charset="0"/>
              <a:ea typeface="Cambria" panose="02040503050406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'Salesperson Performance'!$B$4</c:f>
              <c:strCache>
                <c:ptCount val="1"/>
                <c:pt idx="0">
                  <c:v>Sum of Net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'Salesperson Performance'!$A$5:$A$10</c:f>
              <c:strCache>
                <c:ptCount val="5"/>
                <c:pt idx="0">
                  <c:v>Ahmed</c:v>
                </c:pt>
                <c:pt idx="1">
                  <c:v>Lina</c:v>
                </c:pt>
                <c:pt idx="2">
                  <c:v>Mona</c:v>
                </c:pt>
                <c:pt idx="3">
                  <c:v>Omar</c:v>
                </c:pt>
                <c:pt idx="4">
                  <c:v>Sara</c:v>
                </c:pt>
              </c:strCache>
            </c:strRef>
          </c:cat>
          <c:val>
            <c:numRef>
              <c:f>'Salesperson Performance'!$B$5:$B$10</c:f>
              <c:numCache>
                <c:formatCode>"$"#,##0.00</c:formatCode>
                <c:ptCount val="5"/>
                <c:pt idx="0">
                  <c:v>38750</c:v>
                </c:pt>
                <c:pt idx="1">
                  <c:v>56095</c:v>
                </c:pt>
                <c:pt idx="2">
                  <c:v>20452</c:v>
                </c:pt>
                <c:pt idx="3">
                  <c:v>31858</c:v>
                </c:pt>
                <c:pt idx="4">
                  <c:v>41336.800000000003</c:v>
                </c:pt>
              </c:numCache>
            </c:numRef>
          </c:val>
          <c:extLst>
            <c:ext xmlns:c16="http://schemas.microsoft.com/office/drawing/2014/chart" uri="{C3380CC4-5D6E-409C-BE32-E72D297353CC}">
              <c16:uniqueId val="{00000000-09C7-456A-878E-FAAAB754E95F}"/>
            </c:ext>
          </c:extLst>
        </c:ser>
        <c:ser>
          <c:idx val="1"/>
          <c:order val="1"/>
          <c:tx>
            <c:strRef>
              <c:f>'Salesperson Performance'!$C$4</c:f>
              <c:strCache>
                <c:ptCount val="1"/>
                <c:pt idx="0">
                  <c:v>Sum of Profit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'Salesperson Performance'!$A$5:$A$10</c:f>
              <c:strCache>
                <c:ptCount val="5"/>
                <c:pt idx="0">
                  <c:v>Ahmed</c:v>
                </c:pt>
                <c:pt idx="1">
                  <c:v>Lina</c:v>
                </c:pt>
                <c:pt idx="2">
                  <c:v>Mona</c:v>
                </c:pt>
                <c:pt idx="3">
                  <c:v>Omar</c:v>
                </c:pt>
                <c:pt idx="4">
                  <c:v>Sara</c:v>
                </c:pt>
              </c:strCache>
            </c:strRef>
          </c:cat>
          <c:val>
            <c:numRef>
              <c:f>'Salesperson Performance'!$C$5:$C$10</c:f>
              <c:numCache>
                <c:formatCode>"$"#,##0.00</c:formatCode>
                <c:ptCount val="5"/>
                <c:pt idx="0">
                  <c:v>8290</c:v>
                </c:pt>
                <c:pt idx="1">
                  <c:v>11717.75</c:v>
                </c:pt>
                <c:pt idx="2">
                  <c:v>4479.2</c:v>
                </c:pt>
                <c:pt idx="3">
                  <c:v>6371.6</c:v>
                </c:pt>
                <c:pt idx="4">
                  <c:v>9288.08</c:v>
                </c:pt>
              </c:numCache>
            </c:numRef>
          </c:val>
          <c:extLst>
            <c:ext xmlns:c16="http://schemas.microsoft.com/office/drawing/2014/chart" uri="{C3380CC4-5D6E-409C-BE32-E72D297353CC}">
              <c16:uniqueId val="{00000001-09C7-456A-878E-FAAAB754E95F}"/>
            </c:ext>
          </c:extLst>
        </c:ser>
        <c:dLbls>
          <c:dLblPos val="outEnd"/>
          <c:showLegendKey val="0"/>
          <c:showVal val="1"/>
          <c:showCatName val="0"/>
          <c:showSerName val="0"/>
          <c:showPercent val="0"/>
          <c:showBubbleSize val="0"/>
        </c:dLbls>
        <c:gapWidth val="182"/>
        <c:axId val="1237535936"/>
        <c:axId val="1237534272"/>
      </c:barChart>
      <c:catAx>
        <c:axId val="1237535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7534272"/>
        <c:crosses val="autoZero"/>
        <c:auto val="1"/>
        <c:lblAlgn val="ctr"/>
        <c:lblOffset val="100"/>
        <c:noMultiLvlLbl val="0"/>
      </c:catAx>
      <c:valAx>
        <c:axId val="1237534272"/>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7535936"/>
        <c:crosses val="autoZero"/>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[Haya_Assignment 7.xlsx]Time Analysis!Time Analysis</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a:effectLst/>
                <a:latin typeface="Cambria" panose="02040503050406030204" pitchFamily="18" charset="0"/>
                <a:ea typeface="Cambria" panose="02040503050406030204" pitchFamily="18" charset="0"/>
              </a:rPr>
              <a:t>Monthly Net Sales</a:t>
            </a:r>
          </a:p>
        </c:rich>
      </c:tx>
      <c:layout>
        <c:manualLayout>
          <c:xMode val="edge"/>
          <c:yMode val="edge"/>
          <c:x val="0.38443004870785374"/>
          <c:y val="0.10743243708709639"/>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'Time Analysis'!$B$3</c:f>
              <c:strCache>
                <c:ptCount val="1"/>
                <c:pt idx="0">
                  <c:v>Total</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'Time Analysis'!$A$4:$A$16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'Time Analysis'!$B$4:$B$16</c:f>
              <c:numCache>
                <c:formatCode>"$"#,##0.00</c:formatCode>
                <c:ptCount val="12"/>
                <c:pt idx="0">
                  <c:v>35150</c:v>
                </c:pt>
                <c:pt idx="1">
                  <c:v>3120</c:v>
                </c:pt>
                <c:pt idx="2">
                  <c:v>2592</c:v>
                </c:pt>
                <c:pt idx="3">
                  <c:v>19530</c:v>
                </c:pt>
                <c:pt idx="4">
                  <c:v>17670</c:v>
                </c:pt>
                <c:pt idx="5">
                  <c:v>34532</c:v>
                </c:pt>
                <c:pt idx="6">
                  <c:v>3600</c:v>
                </c:pt>
                <c:pt idx="7">
                  <c:v>12328</c:v>
                </c:pt>
                <c:pt idx="8">
                  <c:v>3325</c:v>
                </c:pt>
                <c:pt idx="9">
                  <c:v>17860</c:v>
                </c:pt>
                <c:pt idx="10">
                  <c:v>3684.8</c:v>
                </c:pt>
                <c:pt idx="11">
                  <c:v>35100</c:v>
                </c:pt>
              </c:numCache>
            </c:numRef>
          </c:val>
          <c:smooth val="0"/>
          <c:extLst>
            <c:ext xmlns:c16="http://schemas.microsoft.com/office/drawing/2014/chart" uri="{C3380CC4-5D6E-409C-BE32-E72D297353CC}">
              <c16:uniqueId val="{00000000-C4FF-4B87-93A4-CB120F3C5916}"/>
            </c:ext>
          </c:extLst>
        </c:ser>
        <c:dLbls>
          <c:dLblPos val="t"/>
          <c:showLegendKey val="0"/>
          <c:showVal val="1"/>
          <c:showCatName val="0"/>
          <c:showSerName val="0"/>
          <c:showPercent val="0"/>
          <c:showBubbleSize val="0"/>
        </c:dLbls>
        <c:smooth val="0"/>
        <c:axId val="1046139392"/>
        <c:axId val="1046138560"/>
      </c:lineChart>
      <c:catAx>
        <c:axId val="1046139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138560"/>
        <c:crosses val="autoZero"/>
        <c:auto val="1"/>
        <c:lblAlgn val="ctr"/>
        <c:lblOffset val="100"/>
        <c:noMultiLvlLbl val="0"/>
      </c:catAx>
      <c:valAx>
        <c:axId val="10461385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139392"/>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[Haya_Assignment 7.xlsx]Sales Band Distribution!Sales Band Distribution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effectLst/>
                <a:latin typeface="Cambria" panose="02040503050406030204" pitchFamily="18" charset="0"/>
                <a:ea typeface="Cambria" panose="02040503050406030204" pitchFamily="18" charset="0"/>
              </a:rPr>
              <a:t>Sales Band Distribution</a:t>
            </a:r>
            <a:endParaRPr lang="en-US" sz="1400">
              <a:effectLst/>
              <a:latin typeface="Cambria" panose="02040503050406030204" pitchFamily="18" charset="0"/>
              <a:ea typeface="Cambria" panose="02040503050406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'Sales Band Distribution'!$B$3</c:f>
              <c:strCache>
                <c:ptCount val="1"/>
                <c:pt idx="0">
                  <c:v>Count of OrderID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Band Distribution'!$A$4:$A$7</c:f>
              <c:strCache>
                <c:ptCount val="3"/>
                <c:pt idx="0">
                  <c:v>High</c:v>
                </c:pt>
                <c:pt idx="1">
                  <c:v>Low</c:v>
                </c:pt>
                <c:pt idx="2">
                  <c:v>Medium</c:v>
                </c:pt>
              </c:strCache>
            </c:strRef>
          </c:cat>
          <c:val>
            <c:numRef>
              <c:f>'Sales Band Distribution'!$B$4:$B$7</c:f>
              <c:numCache>
                <c:formatCode>General</c:formatCode>
                <c:ptCount val="3"/>
                <c:pt idx="0">
                  <c:v>3</c:v>
                </c:pt>
                <c:pt idx="1">
                  <c:v>5</c:v>
                </c:pt>
                <c:pt idx="2">
                  <c:v>4</c:v>
                </c:pt>
              </c:numCache>
            </c:numRef>
          </c:val>
          <c:extLst>
            <c:ext xmlns:c16="http://schemas.microsoft.com/office/drawing/2014/chart" uri="{C3380CC4-5D6E-409C-BE32-E72D297353CC}">
              <c16:uniqueId val="{00000000-4D4F-470B-A40A-DC5A8F277674}"/>
            </c:ext>
          </c:extLst>
        </c:ser>
        <c:ser>
          <c:idx val="1"/>
          <c:order val="1"/>
          <c:tx>
            <c:strRef>
              <c:f>'Sales Band Distribution'!$C$3</c:f>
              <c:strCache>
                <c:ptCount val="1"/>
                <c:pt idx="0">
                  <c:v>Sum of Net Sales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Band Distribution'!$A$4:$A$7</c:f>
              <c:strCache>
                <c:ptCount val="3"/>
                <c:pt idx="0">
                  <c:v>High</c:v>
                </c:pt>
                <c:pt idx="1">
                  <c:v>Low</c:v>
                </c:pt>
                <c:pt idx="2">
                  <c:v>Medium</c:v>
                </c:pt>
              </c:strCache>
            </c:strRef>
          </c:cat>
          <c:val>
            <c:numRef>
              <c:f>'Sales Band Distribution'!$C$4:$C$7</c:f>
              <c:numCache>
                <c:formatCode>"$"#,##0.00</c:formatCode>
                <c:ptCount val="3"/>
                <c:pt idx="0">
                  <c:v>104782</c:v>
                </c:pt>
                <c:pt idx="1">
                  <c:v>16321.8</c:v>
                </c:pt>
                <c:pt idx="2">
                  <c:v>67388</c:v>
                </c:pt>
              </c:numCache>
            </c:numRef>
          </c:val>
          <c:extLst>
            <c:ext xmlns:c16="http://schemas.microsoft.com/office/drawing/2014/chart" uri="{C3380CC4-5D6E-409C-BE32-E72D297353CC}">
              <c16:uniqueId val="{00000001-4D4F-470B-A40A-DC5A8F277674}"/>
            </c:ext>
          </c:extLst>
        </c:ser>
        <c:dLbls>
          <c:dLblPos val="ctr"/>
          <c:showLegendKey val="0"/>
          <c:showVal val="1"/>
          <c:showCatName val="0"/>
          <c:showSerName val="0"/>
          <c:showPercent val="0"/>
          <c:showBubbleSize val="0"/>
        </c:dLbls>
        <c:gapWidth val="219"/>
        <c:overlap val="100"/>
        <c:axId val="753786448"/>
        <c:axId val="753786032"/>
      </c:barChart>
      <c:catAx>
        <c:axId val="753786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786032"/>
        <c:crosses val="autoZero"/>
        <c:auto val="1"/>
        <c:lblAlgn val="ctr"/>
        <c:lblOffset val="100"/>
        <c:noMultiLvlLbl val="0"/>
      </c:catAx>
      <c:valAx>
        <c:axId val="753786032"/>
        <c:scaling>
          <c:logBase val="10"/>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786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144780</xdr:colOff>
      <xdr:row>4</xdr:row>
      <xdr:rowOff>0</xdr:rowOff>
    </xdr:from>
    <xdr:to>
      <xdr:col>0</xdr:col>
      <xdr:colOff>1325880</xdr:colOff>
      <xdr:row>6</xdr:row>
      <xdr:rowOff>106680</xdr:rowOff>
    </xdr:to>
    <xdr:sp macro="" textlink="">
      <xdr:nvSpPr>
        <xdr:cNvPr id="28" name="Rectangle: Rounded Corners 27">
          <a:extLst>
            <a:ext uri="{FF2B5EF4-FFF2-40B4-BE49-F238E27FC236}">
              <a16:creationId xmlns:a16="http://schemas.microsoft.com/office/drawing/2014/main" id="{1C23B80E-8DB5-4441-86EB-B3794BC95CEF}"/>
            </a:ext>
          </a:extLst>
        </xdr:cNvPr>
        <xdr:cNvSpPr/>
      </xdr:nvSpPr>
      <xdr:spPr>
        <a:xfrm>
          <a:off x="144780" y="1135380"/>
          <a:ext cx="1181100" cy="472440"/>
        </a:xfrm>
        <a:prstGeom prst="roundRect">
          <a:avLst/>
        </a:prstGeom>
        <a:solidFill>
          <a:schemeClr val="accent1">
            <a:lumMod val="20000"/>
            <a:lumOff val="8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144780</xdr:colOff>
      <xdr:row>3</xdr:row>
      <xdr:rowOff>76200</xdr:rowOff>
    </xdr:from>
    <xdr:to>
      <xdr:col>0</xdr:col>
      <xdr:colOff>1325880</xdr:colOff>
      <xdr:row>3</xdr:row>
      <xdr:rowOff>548640</xdr:rowOff>
    </xdr:to>
    <xdr:sp macro="" textlink="">
      <xdr:nvSpPr>
        <xdr:cNvPr id="27" name="Rectangle: Rounded Corners 26">
          <a:extLst>
            <a:ext uri="{FF2B5EF4-FFF2-40B4-BE49-F238E27FC236}">
              <a16:creationId xmlns:a16="http://schemas.microsoft.com/office/drawing/2014/main" id="{8F7A7E9A-069B-4261-AD8B-1065DB2CFD1A}"/>
            </a:ext>
          </a:extLst>
        </xdr:cNvPr>
        <xdr:cNvSpPr/>
      </xdr:nvSpPr>
      <xdr:spPr>
        <a:xfrm>
          <a:off x="144780" y="624840"/>
          <a:ext cx="1181100" cy="472440"/>
        </a:xfrm>
        <a:prstGeom prst="roundRect">
          <a:avLst/>
        </a:prstGeom>
        <a:solidFill>
          <a:schemeClr val="accent1">
            <a:lumMod val="20000"/>
            <a:lumOff val="8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99060</xdr:colOff>
      <xdr:row>0</xdr:row>
      <xdr:rowOff>60960</xdr:rowOff>
    </xdr:from>
    <xdr:to>
      <xdr:col>21</xdr:col>
      <xdr:colOff>0</xdr:colOff>
      <xdr:row>2</xdr:row>
      <xdr:rowOff>91440</xdr:rowOff>
    </xdr:to>
    <xdr:sp macro="" textlink="">
      <xdr:nvSpPr>
        <xdr:cNvPr id="2" name="Rectangle: Rounded Corners 1">
          <a:extLst>
            <a:ext uri="{FF2B5EF4-FFF2-40B4-BE49-F238E27FC236}">
              <a16:creationId xmlns:a16="http://schemas.microsoft.com/office/drawing/2014/main" id="{74AE66AE-B84D-467E-9966-559E94D2722E}"/>
            </a:ext>
          </a:extLst>
        </xdr:cNvPr>
        <xdr:cNvSpPr/>
      </xdr:nvSpPr>
      <xdr:spPr>
        <a:xfrm>
          <a:off x="1601289" y="60960"/>
          <a:ext cx="12092940" cy="400594"/>
        </a:xfrm>
        <a:prstGeom prst="roundRect">
          <a:avLst/>
        </a:prstGeom>
        <a:solidFill>
          <a:schemeClr val="accent1">
            <a:lumMod val="40000"/>
            <a:lumOff val="60000"/>
          </a:schemeClr>
        </a:solidFill>
        <a:effectLst>
          <a:outerShdw blurRad="50800" dist="38100" dir="2700000" algn="tl" rotWithShape="0">
            <a:prstClr val="black">
              <a:alpha val="40000"/>
            </a:prstClr>
          </a:out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411480</xdr:colOff>
      <xdr:row>0</xdr:row>
      <xdr:rowOff>45720</xdr:rowOff>
    </xdr:from>
    <xdr:to>
      <xdr:col>16</xdr:col>
      <xdr:colOff>236220</xdr:colOff>
      <xdr:row>2</xdr:row>
      <xdr:rowOff>91440</xdr:rowOff>
    </xdr:to>
    <xdr:sp macro="" textlink="">
      <xdr:nvSpPr>
        <xdr:cNvPr id="3" name="TextBox 2">
          <a:extLst>
            <a:ext uri="{FF2B5EF4-FFF2-40B4-BE49-F238E27FC236}">
              <a16:creationId xmlns:a16="http://schemas.microsoft.com/office/drawing/2014/main" id="{C5197B71-C0D4-44F0-90D9-DFF1A4DC7BE5}"/>
            </a:ext>
          </a:extLst>
        </xdr:cNvPr>
        <xdr:cNvSpPr txBox="1"/>
      </xdr:nvSpPr>
      <xdr:spPr>
        <a:xfrm>
          <a:off x="4770120" y="45720"/>
          <a:ext cx="592074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24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Cambria" panose="02040503050406030204" pitchFamily="18" charset="0"/>
              <a:ea typeface="Cambria" panose="02040503050406030204" pitchFamily="18" charset="0"/>
              <a:cs typeface="+mn-cs"/>
            </a:rPr>
            <a:t>Sales Performance Dashboard</a:t>
          </a:r>
          <a:endParaRPr lang="en-US" sz="24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Cambria" panose="02040503050406030204" pitchFamily="18" charset="0"/>
            <a:ea typeface="Cambria" panose="02040503050406030204" pitchFamily="18" charset="0"/>
          </a:endParaRPr>
        </a:p>
      </xdr:txBody>
    </xdr:sp>
    <xdr:clientData/>
  </xdr:twoCellAnchor>
  <xdr:twoCellAnchor>
    <xdr:from>
      <xdr:col>1</xdr:col>
      <xdr:colOff>68580</xdr:colOff>
      <xdr:row>3</xdr:row>
      <xdr:rowOff>128451</xdr:rowOff>
    </xdr:from>
    <xdr:to>
      <xdr:col>7</xdr:col>
      <xdr:colOff>541601</xdr:colOff>
      <xdr:row>14</xdr:row>
      <xdr:rowOff>111034</xdr:rowOff>
    </xdr:to>
    <xdr:sp macro="" textlink="">
      <xdr:nvSpPr>
        <xdr:cNvPr id="4" name="Rectangle: Rounded Corners 3">
          <a:extLst>
            <a:ext uri="{FF2B5EF4-FFF2-40B4-BE49-F238E27FC236}">
              <a16:creationId xmlns:a16="http://schemas.microsoft.com/office/drawing/2014/main" id="{9CBC938D-221B-49BA-889F-E1BF34753845}"/>
            </a:ext>
          </a:extLst>
        </xdr:cNvPr>
        <xdr:cNvSpPr/>
      </xdr:nvSpPr>
      <xdr:spPr>
        <a:xfrm>
          <a:off x="1569720" y="677091"/>
          <a:ext cx="4130621" cy="2398123"/>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0</xdr:colOff>
      <xdr:row>3</xdr:row>
      <xdr:rowOff>136071</xdr:rowOff>
    </xdr:from>
    <xdr:to>
      <xdr:col>14</xdr:col>
      <xdr:colOff>489091</xdr:colOff>
      <xdr:row>14</xdr:row>
      <xdr:rowOff>118654</xdr:rowOff>
    </xdr:to>
    <xdr:sp macro="" textlink="">
      <xdr:nvSpPr>
        <xdr:cNvPr id="9" name="Rectangle: Rounded Corners 8">
          <a:extLst>
            <a:ext uri="{FF2B5EF4-FFF2-40B4-BE49-F238E27FC236}">
              <a16:creationId xmlns:a16="http://schemas.microsoft.com/office/drawing/2014/main" id="{640711D6-5082-410D-8747-CA6D6AD1709A}"/>
            </a:ext>
          </a:extLst>
        </xdr:cNvPr>
        <xdr:cNvSpPr/>
      </xdr:nvSpPr>
      <xdr:spPr>
        <a:xfrm>
          <a:off x="5768340" y="684711"/>
          <a:ext cx="4146691" cy="2398123"/>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xdr:colOff>
      <xdr:row>3</xdr:row>
      <xdr:rowOff>158931</xdr:rowOff>
    </xdr:from>
    <xdr:to>
      <xdr:col>21</xdr:col>
      <xdr:colOff>182883</xdr:colOff>
      <xdr:row>14</xdr:row>
      <xdr:rowOff>141514</xdr:rowOff>
    </xdr:to>
    <xdr:sp macro="" textlink="">
      <xdr:nvSpPr>
        <xdr:cNvPr id="10" name="Rectangle: Rounded Corners 9">
          <a:extLst>
            <a:ext uri="{FF2B5EF4-FFF2-40B4-BE49-F238E27FC236}">
              <a16:creationId xmlns:a16="http://schemas.microsoft.com/office/drawing/2014/main" id="{27EABE07-A37B-4AAF-91C6-D79D7E1BCF3B}"/>
            </a:ext>
          </a:extLst>
        </xdr:cNvPr>
        <xdr:cNvSpPr/>
      </xdr:nvSpPr>
      <xdr:spPr>
        <a:xfrm>
          <a:off x="10035541" y="707571"/>
          <a:ext cx="3840482" cy="2398123"/>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457200</xdr:colOff>
      <xdr:row>15</xdr:row>
      <xdr:rowOff>9796</xdr:rowOff>
    </xdr:from>
    <xdr:to>
      <xdr:col>11</xdr:col>
      <xdr:colOff>152400</xdr:colOff>
      <xdr:row>28</xdr:row>
      <xdr:rowOff>80554</xdr:rowOff>
    </xdr:to>
    <xdr:sp macro="" textlink="">
      <xdr:nvSpPr>
        <xdr:cNvPr id="11" name="Rectangle: Rounded Corners 10">
          <a:extLst>
            <a:ext uri="{FF2B5EF4-FFF2-40B4-BE49-F238E27FC236}">
              <a16:creationId xmlns:a16="http://schemas.microsoft.com/office/drawing/2014/main" id="{D07ED319-64B7-4DF2-A147-D14EC33A73B3}"/>
            </a:ext>
          </a:extLst>
        </xdr:cNvPr>
        <xdr:cNvSpPr/>
      </xdr:nvSpPr>
      <xdr:spPr>
        <a:xfrm>
          <a:off x="1959429" y="3188425"/>
          <a:ext cx="5791200" cy="247650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236220</xdr:colOff>
      <xdr:row>15</xdr:row>
      <xdr:rowOff>17416</xdr:rowOff>
    </xdr:from>
    <xdr:to>
      <xdr:col>20</xdr:col>
      <xdr:colOff>541020</xdr:colOff>
      <xdr:row>28</xdr:row>
      <xdr:rowOff>88174</xdr:rowOff>
    </xdr:to>
    <xdr:sp macro="" textlink="">
      <xdr:nvSpPr>
        <xdr:cNvPr id="12" name="Rectangle: Rounded Corners 11">
          <a:extLst>
            <a:ext uri="{FF2B5EF4-FFF2-40B4-BE49-F238E27FC236}">
              <a16:creationId xmlns:a16="http://schemas.microsoft.com/office/drawing/2014/main" id="{BAE777D8-1878-40F1-BFAD-03E43AF8E464}"/>
            </a:ext>
          </a:extLst>
        </xdr:cNvPr>
        <xdr:cNvSpPr/>
      </xdr:nvSpPr>
      <xdr:spPr>
        <a:xfrm>
          <a:off x="7834449" y="3196045"/>
          <a:ext cx="5791200" cy="247650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129540</xdr:colOff>
      <xdr:row>3</xdr:row>
      <xdr:rowOff>174171</xdr:rowOff>
    </xdr:from>
    <xdr:to>
      <xdr:col>7</xdr:col>
      <xdr:colOff>541601</xdr:colOff>
      <xdr:row>14</xdr:row>
      <xdr:rowOff>95794</xdr:rowOff>
    </xdr:to>
    <xdr:graphicFrame macro="">
      <xdr:nvGraphicFramePr>
        <xdr:cNvPr id="13" name="Chart 12">
          <a:extLst>
            <a:ext uri="{FF2B5EF4-FFF2-40B4-BE49-F238E27FC236}">
              <a16:creationId xmlns:a16="http://schemas.microsoft.com/office/drawing/2014/main" id="{7C3CA629-2708-48E6-94CF-17D89972B0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228600</xdr:colOff>
      <xdr:row>3</xdr:row>
      <xdr:rowOff>166551</xdr:rowOff>
    </xdr:from>
    <xdr:to>
      <xdr:col>14</xdr:col>
      <xdr:colOff>489091</xdr:colOff>
      <xdr:row>14</xdr:row>
      <xdr:rowOff>111034</xdr:rowOff>
    </xdr:to>
    <xdr:graphicFrame macro="">
      <xdr:nvGraphicFramePr>
        <xdr:cNvPr id="14" name="Chart 13">
          <a:extLst>
            <a:ext uri="{FF2B5EF4-FFF2-40B4-BE49-F238E27FC236}">
              <a16:creationId xmlns:a16="http://schemas.microsoft.com/office/drawing/2014/main" id="{9E30D1CE-29C6-483F-81AC-DD5805E69A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121921</xdr:colOff>
      <xdr:row>3</xdr:row>
      <xdr:rowOff>174171</xdr:rowOff>
    </xdr:from>
    <xdr:to>
      <xdr:col>21</xdr:col>
      <xdr:colOff>1</xdr:colOff>
      <xdr:row>14</xdr:row>
      <xdr:rowOff>88174</xdr:rowOff>
    </xdr:to>
    <xdr:graphicFrame macro="">
      <xdr:nvGraphicFramePr>
        <xdr:cNvPr id="15" name="Chart 14">
          <a:extLst>
            <a:ext uri="{FF2B5EF4-FFF2-40B4-BE49-F238E27FC236}">
              <a16:creationId xmlns:a16="http://schemas.microsoft.com/office/drawing/2014/main" id="{0D008F85-BC46-463F-8867-D9C12969EB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563880</xdr:colOff>
      <xdr:row>15</xdr:row>
      <xdr:rowOff>80553</xdr:rowOff>
    </xdr:from>
    <xdr:to>
      <xdr:col>11</xdr:col>
      <xdr:colOff>137160</xdr:colOff>
      <xdr:row>29</xdr:row>
      <xdr:rowOff>17416</xdr:rowOff>
    </xdr:to>
    <xdr:graphicFrame macro="">
      <xdr:nvGraphicFramePr>
        <xdr:cNvPr id="16" name="Chart 15">
          <a:extLst>
            <a:ext uri="{FF2B5EF4-FFF2-40B4-BE49-F238E27FC236}">
              <a16:creationId xmlns:a16="http://schemas.microsoft.com/office/drawing/2014/main" id="{9C3BE17C-F4B6-48C4-94F6-918CE3F303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388620</xdr:colOff>
      <xdr:row>15</xdr:row>
      <xdr:rowOff>65313</xdr:rowOff>
    </xdr:from>
    <xdr:to>
      <xdr:col>20</xdr:col>
      <xdr:colOff>518160</xdr:colOff>
      <xdr:row>28</xdr:row>
      <xdr:rowOff>103414</xdr:rowOff>
    </xdr:to>
    <xdr:graphicFrame macro="">
      <xdr:nvGraphicFramePr>
        <xdr:cNvPr id="17" name="Chart 16">
          <a:extLst>
            <a:ext uri="{FF2B5EF4-FFF2-40B4-BE49-F238E27FC236}">
              <a16:creationId xmlns:a16="http://schemas.microsoft.com/office/drawing/2014/main" id="{1A177EEE-D5AE-4ED2-924F-23A4F52034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144780</xdr:colOff>
      <xdr:row>0</xdr:row>
      <xdr:rowOff>106680</xdr:rowOff>
    </xdr:from>
    <xdr:to>
      <xdr:col>0</xdr:col>
      <xdr:colOff>1325880</xdr:colOff>
      <xdr:row>3</xdr:row>
      <xdr:rowOff>30480</xdr:rowOff>
    </xdr:to>
    <xdr:sp macro="" textlink="">
      <xdr:nvSpPr>
        <xdr:cNvPr id="26" name="Rectangle: Rounded Corners 25">
          <a:extLst>
            <a:ext uri="{FF2B5EF4-FFF2-40B4-BE49-F238E27FC236}">
              <a16:creationId xmlns:a16="http://schemas.microsoft.com/office/drawing/2014/main" id="{F38C5ECC-64AD-4B09-9E79-2F0460593AA5}"/>
            </a:ext>
          </a:extLst>
        </xdr:cNvPr>
        <xdr:cNvSpPr/>
      </xdr:nvSpPr>
      <xdr:spPr>
        <a:xfrm>
          <a:off x="144780" y="106680"/>
          <a:ext cx="1181100" cy="472440"/>
        </a:xfrm>
        <a:prstGeom prst="roundRect">
          <a:avLst/>
        </a:prstGeom>
        <a:solidFill>
          <a:schemeClr val="accent1">
            <a:lumMod val="20000"/>
            <a:lumOff val="8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144780</xdr:colOff>
      <xdr:row>0</xdr:row>
      <xdr:rowOff>167640</xdr:rowOff>
    </xdr:from>
    <xdr:to>
      <xdr:col>0</xdr:col>
      <xdr:colOff>1303020</xdr:colOff>
      <xdr:row>1</xdr:row>
      <xdr:rowOff>175260</xdr:rowOff>
    </xdr:to>
    <xdr:sp macro="" textlink="">
      <xdr:nvSpPr>
        <xdr:cNvPr id="35" name="TextBox 34">
          <a:extLst>
            <a:ext uri="{FF2B5EF4-FFF2-40B4-BE49-F238E27FC236}">
              <a16:creationId xmlns:a16="http://schemas.microsoft.com/office/drawing/2014/main" id="{1C08C93D-E372-4B46-A2C6-E86173E2E008}"/>
            </a:ext>
          </a:extLst>
        </xdr:cNvPr>
        <xdr:cNvSpPr txBox="1"/>
      </xdr:nvSpPr>
      <xdr:spPr>
        <a:xfrm>
          <a:off x="144780" y="167640"/>
          <a:ext cx="1158240" cy="190500"/>
        </a:xfrm>
        <a:prstGeom prst="rect">
          <a:avLst/>
        </a:prstGeom>
        <a:solidFill>
          <a:schemeClr val="accent1">
            <a:lumMod val="40000"/>
            <a:lumOff val="60000"/>
          </a:schemeClr>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900">
              <a:solidFill>
                <a:schemeClr val="bg1"/>
              </a:solidFill>
              <a:effectLst/>
              <a:latin typeface="Cambria" panose="02040503050406030204" pitchFamily="18" charset="0"/>
              <a:ea typeface="Cambria" panose="02040503050406030204" pitchFamily="18" charset="0"/>
              <a:cs typeface="+mn-cs"/>
            </a:rPr>
            <a:t>Total Net Sales</a:t>
          </a:r>
          <a:endParaRPr lang="en-US" sz="900">
            <a:solidFill>
              <a:schemeClr val="bg1"/>
            </a:solidFill>
            <a:effectLst/>
            <a:latin typeface="Cambria" panose="02040503050406030204" pitchFamily="18" charset="0"/>
            <a:ea typeface="Cambria" panose="02040503050406030204" pitchFamily="18" charset="0"/>
          </a:endParaRPr>
        </a:p>
      </xdr:txBody>
    </xdr:sp>
    <xdr:clientData/>
  </xdr:twoCellAnchor>
  <xdr:twoCellAnchor>
    <xdr:from>
      <xdr:col>0</xdr:col>
      <xdr:colOff>152400</xdr:colOff>
      <xdr:row>3</xdr:row>
      <xdr:rowOff>152400</xdr:rowOff>
    </xdr:from>
    <xdr:to>
      <xdr:col>0</xdr:col>
      <xdr:colOff>1318260</xdr:colOff>
      <xdr:row>3</xdr:row>
      <xdr:rowOff>327660</xdr:rowOff>
    </xdr:to>
    <xdr:sp macro="" textlink="">
      <xdr:nvSpPr>
        <xdr:cNvPr id="36" name="TextBox 35">
          <a:extLst>
            <a:ext uri="{FF2B5EF4-FFF2-40B4-BE49-F238E27FC236}">
              <a16:creationId xmlns:a16="http://schemas.microsoft.com/office/drawing/2014/main" id="{76AA9B74-743D-4B42-8262-EA382E65B869}"/>
            </a:ext>
          </a:extLst>
        </xdr:cNvPr>
        <xdr:cNvSpPr txBox="1"/>
      </xdr:nvSpPr>
      <xdr:spPr>
        <a:xfrm>
          <a:off x="152400" y="701040"/>
          <a:ext cx="1165860" cy="175260"/>
        </a:xfrm>
        <a:prstGeom prst="rect">
          <a:avLst/>
        </a:prstGeom>
        <a:solidFill>
          <a:schemeClr val="accent1">
            <a:lumMod val="40000"/>
            <a:lumOff val="60000"/>
          </a:schemeClr>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0"/>
          <a:r>
            <a:rPr lang="en-US" sz="900">
              <a:solidFill>
                <a:schemeClr val="bg1"/>
              </a:solidFill>
              <a:effectLst/>
              <a:latin typeface="+mn-lt"/>
              <a:ea typeface="+mn-ea"/>
              <a:cs typeface="+mn-cs"/>
            </a:rPr>
            <a:t>Total Profit</a:t>
          </a:r>
          <a:endParaRPr lang="en-US" sz="900">
            <a:solidFill>
              <a:schemeClr val="bg1"/>
            </a:solidFill>
            <a:effectLst/>
          </a:endParaRPr>
        </a:p>
      </xdr:txBody>
    </xdr:sp>
    <xdr:clientData/>
  </xdr:twoCellAnchor>
  <xdr:twoCellAnchor>
    <xdr:from>
      <xdr:col>0</xdr:col>
      <xdr:colOff>304800</xdr:colOff>
      <xdr:row>1</xdr:row>
      <xdr:rowOff>175260</xdr:rowOff>
    </xdr:from>
    <xdr:to>
      <xdr:col>0</xdr:col>
      <xdr:colOff>1203960</xdr:colOff>
      <xdr:row>3</xdr:row>
      <xdr:rowOff>22860</xdr:rowOff>
    </xdr:to>
    <xdr:sp macro="" textlink="KPI!B12">
      <xdr:nvSpPr>
        <xdr:cNvPr id="37" name="TextBox 36">
          <a:extLst>
            <a:ext uri="{FF2B5EF4-FFF2-40B4-BE49-F238E27FC236}">
              <a16:creationId xmlns:a16="http://schemas.microsoft.com/office/drawing/2014/main" id="{C69B00E6-DA51-4076-ADEA-AC8A08E410AE}"/>
            </a:ext>
          </a:extLst>
        </xdr:cNvPr>
        <xdr:cNvSpPr txBox="1"/>
      </xdr:nvSpPr>
      <xdr:spPr>
        <a:xfrm>
          <a:off x="304800" y="358140"/>
          <a:ext cx="89916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D75B03B-AC59-4DE9-B398-2A9286938FDE}" type="TxLink">
            <a:rPr lang="en-US" sz="1100" b="0" i="0" u="none" strike="noStrike">
              <a:solidFill>
                <a:srgbClr val="000000"/>
              </a:solidFill>
              <a:latin typeface="Calibri"/>
              <a:ea typeface="Calibri"/>
              <a:cs typeface="Calibri"/>
            </a:rPr>
            <a:pPr/>
            <a:t>$188,491.80</a:t>
          </a:fld>
          <a:endParaRPr lang="en-US" sz="1100"/>
        </a:p>
      </xdr:txBody>
    </xdr:sp>
    <xdr:clientData/>
  </xdr:twoCellAnchor>
  <xdr:twoCellAnchor>
    <xdr:from>
      <xdr:col>0</xdr:col>
      <xdr:colOff>304800</xdr:colOff>
      <xdr:row>3</xdr:row>
      <xdr:rowOff>327660</xdr:rowOff>
    </xdr:from>
    <xdr:to>
      <xdr:col>0</xdr:col>
      <xdr:colOff>1127760</xdr:colOff>
      <xdr:row>3</xdr:row>
      <xdr:rowOff>510540</xdr:rowOff>
    </xdr:to>
    <xdr:sp macro="" textlink="KPI!B13">
      <xdr:nvSpPr>
        <xdr:cNvPr id="40" name="TextBox 39">
          <a:extLst>
            <a:ext uri="{FF2B5EF4-FFF2-40B4-BE49-F238E27FC236}">
              <a16:creationId xmlns:a16="http://schemas.microsoft.com/office/drawing/2014/main" id="{8D2E5E68-6536-42EA-9E75-B2D1ABAFA5C4}"/>
            </a:ext>
          </a:extLst>
        </xdr:cNvPr>
        <xdr:cNvSpPr txBox="1"/>
      </xdr:nvSpPr>
      <xdr:spPr>
        <a:xfrm>
          <a:off x="304800" y="876300"/>
          <a:ext cx="82296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E7355CF-2F9E-44FB-AB90-765754587019}" type="TxLink">
            <a:rPr lang="en-US" sz="1100" b="0" i="0" u="none" strike="noStrike">
              <a:solidFill>
                <a:srgbClr val="000000"/>
              </a:solidFill>
              <a:latin typeface="Calibri"/>
              <a:ea typeface="Calibri"/>
              <a:cs typeface="Calibri"/>
            </a:rPr>
            <a:pPr/>
            <a:t>$40,146.63</a:t>
          </a:fld>
          <a:endParaRPr lang="en-US" sz="1100"/>
        </a:p>
      </xdr:txBody>
    </xdr:sp>
    <xdr:clientData/>
  </xdr:twoCellAnchor>
  <xdr:twoCellAnchor>
    <xdr:from>
      <xdr:col>0</xdr:col>
      <xdr:colOff>144780</xdr:colOff>
      <xdr:row>4</xdr:row>
      <xdr:rowOff>68580</xdr:rowOff>
    </xdr:from>
    <xdr:to>
      <xdr:col>0</xdr:col>
      <xdr:colOff>1295400</xdr:colOff>
      <xdr:row>5</xdr:row>
      <xdr:rowOff>83820</xdr:rowOff>
    </xdr:to>
    <xdr:sp macro="" textlink="">
      <xdr:nvSpPr>
        <xdr:cNvPr id="38" name="TextBox 37">
          <a:extLst>
            <a:ext uri="{FF2B5EF4-FFF2-40B4-BE49-F238E27FC236}">
              <a16:creationId xmlns:a16="http://schemas.microsoft.com/office/drawing/2014/main" id="{E17B7845-FC1E-48BE-901B-499A54C63C89}"/>
            </a:ext>
          </a:extLst>
        </xdr:cNvPr>
        <xdr:cNvSpPr txBox="1"/>
      </xdr:nvSpPr>
      <xdr:spPr>
        <a:xfrm>
          <a:off x="144780" y="1203960"/>
          <a:ext cx="1150620" cy="198120"/>
        </a:xfrm>
        <a:prstGeom prst="rect">
          <a:avLst/>
        </a:prstGeom>
        <a:solidFill>
          <a:schemeClr val="accent1">
            <a:lumMod val="40000"/>
            <a:lumOff val="60000"/>
          </a:schemeClr>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0"/>
          <a:r>
            <a:rPr lang="en-US" sz="900">
              <a:solidFill>
                <a:schemeClr val="bg1"/>
              </a:solidFill>
              <a:effectLst/>
              <a:latin typeface="+mn-lt"/>
              <a:ea typeface="+mn-ea"/>
              <a:cs typeface="+mn-cs"/>
            </a:rPr>
            <a:t>Total Orders</a:t>
          </a:r>
          <a:endParaRPr lang="en-US" sz="900">
            <a:solidFill>
              <a:schemeClr val="bg1"/>
            </a:solidFill>
            <a:effectLst/>
          </a:endParaRPr>
        </a:p>
      </xdr:txBody>
    </xdr:sp>
    <xdr:clientData/>
  </xdr:twoCellAnchor>
  <xdr:twoCellAnchor>
    <xdr:from>
      <xdr:col>0</xdr:col>
      <xdr:colOff>548640</xdr:colOff>
      <xdr:row>5</xdr:row>
      <xdr:rowOff>45720</xdr:rowOff>
    </xdr:from>
    <xdr:to>
      <xdr:col>0</xdr:col>
      <xdr:colOff>906780</xdr:colOff>
      <xdr:row>7</xdr:row>
      <xdr:rowOff>45720</xdr:rowOff>
    </xdr:to>
    <xdr:sp macro="" textlink="KPI!B14">
      <xdr:nvSpPr>
        <xdr:cNvPr id="41" name="TextBox 40">
          <a:extLst>
            <a:ext uri="{FF2B5EF4-FFF2-40B4-BE49-F238E27FC236}">
              <a16:creationId xmlns:a16="http://schemas.microsoft.com/office/drawing/2014/main" id="{05BD169C-B2B0-4FE2-AF99-523E8B49CE1C}"/>
            </a:ext>
          </a:extLst>
        </xdr:cNvPr>
        <xdr:cNvSpPr txBox="1"/>
      </xdr:nvSpPr>
      <xdr:spPr>
        <a:xfrm>
          <a:off x="548640" y="1363980"/>
          <a:ext cx="35814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699640A-1CE9-4800-AF61-0C245873FDFD}" type="TxLink">
            <a:rPr lang="en-US" sz="1100" b="0" i="0" u="none" strike="noStrike">
              <a:solidFill>
                <a:srgbClr val="000000"/>
              </a:solidFill>
              <a:latin typeface="Calibri"/>
              <a:ea typeface="Calibri"/>
              <a:cs typeface="Calibri"/>
            </a:rPr>
            <a:pPr/>
            <a:t>12</a:t>
          </a:fld>
          <a:endParaRPr lang="en-US" sz="1100"/>
        </a:p>
      </xdr:txBody>
    </xdr:sp>
    <xdr:clientData/>
  </xdr:twoCellAnchor>
  <xdr:twoCellAnchor>
    <xdr:from>
      <xdr:col>0</xdr:col>
      <xdr:colOff>106680</xdr:colOff>
      <xdr:row>7</xdr:row>
      <xdr:rowOff>43827</xdr:rowOff>
    </xdr:from>
    <xdr:to>
      <xdr:col>0</xdr:col>
      <xdr:colOff>1371600</xdr:colOff>
      <xdr:row>12</xdr:row>
      <xdr:rowOff>0</xdr:rowOff>
    </xdr:to>
    <xdr:sp macro="" textlink="">
      <xdr:nvSpPr>
        <xdr:cNvPr id="22" name="Rectangle 21">
          <a:extLst>
            <a:ext uri="{FF2B5EF4-FFF2-40B4-BE49-F238E27FC236}">
              <a16:creationId xmlns:a16="http://schemas.microsoft.com/office/drawing/2014/main" id="{69EC07AF-FF36-4DE0-81E8-584976E706ED}"/>
            </a:ext>
          </a:extLst>
        </xdr:cNvPr>
        <xdr:cNvSpPr/>
      </xdr:nvSpPr>
      <xdr:spPr>
        <a:xfrm>
          <a:off x="106680" y="1727847"/>
          <a:ext cx="1264920" cy="870573"/>
        </a:xfrm>
        <a:prstGeom prst="rect">
          <a:avLst/>
        </a:prstGeom>
        <a:solidFill>
          <a:schemeClr val="accent1">
            <a:lumMod val="20000"/>
            <a:lumOff val="8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106680</xdr:colOff>
      <xdr:row>12</xdr:row>
      <xdr:rowOff>70473</xdr:rowOff>
    </xdr:from>
    <xdr:to>
      <xdr:col>0</xdr:col>
      <xdr:colOff>1371600</xdr:colOff>
      <xdr:row>18</xdr:row>
      <xdr:rowOff>30480</xdr:rowOff>
    </xdr:to>
    <xdr:sp macro="" textlink="">
      <xdr:nvSpPr>
        <xdr:cNvPr id="24" name="Rectangle 23">
          <a:extLst>
            <a:ext uri="{FF2B5EF4-FFF2-40B4-BE49-F238E27FC236}">
              <a16:creationId xmlns:a16="http://schemas.microsoft.com/office/drawing/2014/main" id="{26D8A440-A524-47F3-985D-4ACE7BC0002A}"/>
            </a:ext>
          </a:extLst>
        </xdr:cNvPr>
        <xdr:cNvSpPr/>
      </xdr:nvSpPr>
      <xdr:spPr>
        <a:xfrm>
          <a:off x="106680" y="2668893"/>
          <a:ext cx="1264920" cy="1057287"/>
        </a:xfrm>
        <a:prstGeom prst="rect">
          <a:avLst/>
        </a:prstGeom>
        <a:solidFill>
          <a:schemeClr val="accent1">
            <a:lumMod val="20000"/>
            <a:lumOff val="8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121920</xdr:colOff>
      <xdr:row>7</xdr:row>
      <xdr:rowOff>158127</xdr:rowOff>
    </xdr:from>
    <xdr:to>
      <xdr:col>0</xdr:col>
      <xdr:colOff>1341120</xdr:colOff>
      <xdr:row>12</xdr:row>
      <xdr:rowOff>0</xdr:rowOff>
    </xdr:to>
    <mc:AlternateContent xmlns:mc="http://schemas.openxmlformats.org/markup-compatibility/2006">
      <mc:Choice xmlns:a14="http://schemas.microsoft.com/office/drawing/2010/main" Requires="a14">
        <xdr:graphicFrame macro="">
          <xdr:nvGraphicFramePr>
            <xdr:cNvPr id="18" name="Category 1">
              <a:extLst>
                <a:ext uri="{FF2B5EF4-FFF2-40B4-BE49-F238E27FC236}">
                  <a16:creationId xmlns:a16="http://schemas.microsoft.com/office/drawing/2014/main" id="{7B7307D9-A63F-4C8D-BBDB-E327C9829DBB}"/>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21920" y="1842147"/>
              <a:ext cx="1219200" cy="7562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121920</xdr:colOff>
      <xdr:row>13</xdr:row>
      <xdr:rowOff>9513</xdr:rowOff>
    </xdr:from>
    <xdr:to>
      <xdr:col>0</xdr:col>
      <xdr:colOff>1341120</xdr:colOff>
      <xdr:row>18</xdr:row>
      <xdr:rowOff>30480</xdr:rowOff>
    </xdr:to>
    <mc:AlternateContent xmlns:mc="http://schemas.openxmlformats.org/markup-compatibility/2006">
      <mc:Choice xmlns:a14="http://schemas.microsoft.com/office/drawing/2010/main" Requires="a14">
        <xdr:graphicFrame macro="">
          <xdr:nvGraphicFramePr>
            <xdr:cNvPr id="19" name="Channel 1">
              <a:extLst>
                <a:ext uri="{FF2B5EF4-FFF2-40B4-BE49-F238E27FC236}">
                  <a16:creationId xmlns:a16="http://schemas.microsoft.com/office/drawing/2014/main" id="{24E52E7D-19DF-4AF7-985A-C6BBB7BECEC9}"/>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dr:sp macro="" textlink="">
          <xdr:nvSpPr>
            <xdr:cNvPr id="0" name=""/>
            <xdr:cNvSpPr>
              <a:spLocks noTextEdit="1"/>
            </xdr:cNvSpPr>
          </xdr:nvSpPr>
          <xdr:spPr>
            <a:xfrm>
              <a:off x="121920" y="2790813"/>
              <a:ext cx="1219200" cy="9353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121920</xdr:colOff>
      <xdr:row>18</xdr:row>
      <xdr:rowOff>93333</xdr:rowOff>
    </xdr:from>
    <xdr:to>
      <xdr:col>0</xdr:col>
      <xdr:colOff>1386840</xdr:colOff>
      <xdr:row>23</xdr:row>
      <xdr:rowOff>0</xdr:rowOff>
    </xdr:to>
    <xdr:sp macro="" textlink="">
      <xdr:nvSpPr>
        <xdr:cNvPr id="25" name="Rectangle 24">
          <a:extLst>
            <a:ext uri="{FF2B5EF4-FFF2-40B4-BE49-F238E27FC236}">
              <a16:creationId xmlns:a16="http://schemas.microsoft.com/office/drawing/2014/main" id="{100BA80E-C858-4A3A-BD27-38DAA2CA651D}"/>
            </a:ext>
          </a:extLst>
        </xdr:cNvPr>
        <xdr:cNvSpPr/>
      </xdr:nvSpPr>
      <xdr:spPr>
        <a:xfrm>
          <a:off x="121920" y="3789033"/>
          <a:ext cx="1264920" cy="821067"/>
        </a:xfrm>
        <a:prstGeom prst="rect">
          <a:avLst/>
        </a:prstGeom>
        <a:solidFill>
          <a:schemeClr val="accent1">
            <a:lumMod val="20000"/>
            <a:lumOff val="8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129540</xdr:colOff>
      <xdr:row>19</xdr:row>
      <xdr:rowOff>0</xdr:rowOff>
    </xdr:from>
    <xdr:to>
      <xdr:col>0</xdr:col>
      <xdr:colOff>1371600</xdr:colOff>
      <xdr:row>23</xdr:row>
      <xdr:rowOff>0</xdr:rowOff>
    </xdr:to>
    <mc:AlternateContent xmlns:mc="http://schemas.openxmlformats.org/markup-compatibility/2006">
      <mc:Choice xmlns:a14="http://schemas.microsoft.com/office/drawing/2010/main" Requires="a14">
        <xdr:graphicFrame macro="">
          <xdr:nvGraphicFramePr>
            <xdr:cNvPr id="20" name="Region 1">
              <a:extLst>
                <a:ext uri="{FF2B5EF4-FFF2-40B4-BE49-F238E27FC236}">
                  <a16:creationId xmlns:a16="http://schemas.microsoft.com/office/drawing/2014/main" id="{B17FB614-C7FC-4943-B178-F7EA41699B3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29540" y="3878580"/>
              <a:ext cx="1242060" cy="731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106680</xdr:colOff>
      <xdr:row>23</xdr:row>
      <xdr:rowOff>76200</xdr:rowOff>
    </xdr:from>
    <xdr:to>
      <xdr:col>0</xdr:col>
      <xdr:colOff>1386840</xdr:colOff>
      <xdr:row>30</xdr:row>
      <xdr:rowOff>0</xdr:rowOff>
    </xdr:to>
    <xdr:sp macro="" textlink="">
      <xdr:nvSpPr>
        <xdr:cNvPr id="30" name="Rectangle 29">
          <a:extLst>
            <a:ext uri="{FF2B5EF4-FFF2-40B4-BE49-F238E27FC236}">
              <a16:creationId xmlns:a16="http://schemas.microsoft.com/office/drawing/2014/main" id="{1D474740-A2A5-4518-AD93-59EE2AC3F63A}"/>
            </a:ext>
          </a:extLst>
        </xdr:cNvPr>
        <xdr:cNvSpPr/>
      </xdr:nvSpPr>
      <xdr:spPr>
        <a:xfrm>
          <a:off x="106680" y="4686300"/>
          <a:ext cx="1280160" cy="1203960"/>
        </a:xfrm>
        <a:prstGeom prst="rect">
          <a:avLst/>
        </a:prstGeom>
        <a:solidFill>
          <a:schemeClr val="accent1">
            <a:lumMod val="20000"/>
            <a:lumOff val="8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106680</xdr:colOff>
      <xdr:row>24</xdr:row>
      <xdr:rowOff>0</xdr:rowOff>
    </xdr:from>
    <xdr:to>
      <xdr:col>0</xdr:col>
      <xdr:colOff>1386840</xdr:colOff>
      <xdr:row>30</xdr:row>
      <xdr:rowOff>0</xdr:rowOff>
    </xdr:to>
    <mc:AlternateContent xmlns:mc="http://schemas.openxmlformats.org/markup-compatibility/2006">
      <mc:Choice xmlns:a14="http://schemas.microsoft.com/office/drawing/2010/main" Requires="a14">
        <xdr:graphicFrame macro="">
          <xdr:nvGraphicFramePr>
            <xdr:cNvPr id="21" name="Salesperson 1">
              <a:extLst>
                <a:ext uri="{FF2B5EF4-FFF2-40B4-BE49-F238E27FC236}">
                  <a16:creationId xmlns:a16="http://schemas.microsoft.com/office/drawing/2014/main" id="{20DFDB1A-4D3A-4495-B2B9-9FF03AE549B9}"/>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dr:sp macro="" textlink="">
          <xdr:nvSpPr>
            <xdr:cNvPr id="0" name=""/>
            <xdr:cNvSpPr>
              <a:spLocks noTextEdit="1"/>
            </xdr:cNvSpPr>
          </xdr:nvSpPr>
          <xdr:spPr>
            <a:xfrm>
              <a:off x="106680" y="4792980"/>
              <a:ext cx="1280160" cy="10972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651510</xdr:colOff>
      <xdr:row>10</xdr:row>
      <xdr:rowOff>3810</xdr:rowOff>
    </xdr:from>
    <xdr:to>
      <xdr:col>13</xdr:col>
      <xdr:colOff>422910</xdr:colOff>
      <xdr:row>25</xdr:row>
      <xdr:rowOff>3810</xdr:rowOff>
    </xdr:to>
    <xdr:graphicFrame macro="">
      <xdr:nvGraphicFramePr>
        <xdr:cNvPr id="2" name="Chart 1">
          <a:extLst>
            <a:ext uri="{FF2B5EF4-FFF2-40B4-BE49-F238E27FC236}">
              <a16:creationId xmlns:a16="http://schemas.microsoft.com/office/drawing/2014/main" id="{C6A0B4D3-96FA-44EB-90A6-DF6B79D335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0</xdr:colOff>
      <xdr:row>18</xdr:row>
      <xdr:rowOff>15240</xdr:rowOff>
    </xdr:from>
    <xdr:to>
      <xdr:col>18</xdr:col>
      <xdr:colOff>0</xdr:colOff>
      <xdr:row>31</xdr:row>
      <xdr:rowOff>104775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A298BC6B-8DEE-42D1-A368-F6CAA98CD75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966960" y="33070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320040</xdr:colOff>
      <xdr:row>18</xdr:row>
      <xdr:rowOff>0</xdr:rowOff>
    </xdr:from>
    <xdr:to>
      <xdr:col>21</xdr:col>
      <xdr:colOff>320040</xdr:colOff>
      <xdr:row>31</xdr:row>
      <xdr:rowOff>89535</xdr:rowOff>
    </xdr:to>
    <mc:AlternateContent xmlns:mc="http://schemas.openxmlformats.org/markup-compatibility/2006" xmlns:a14="http://schemas.microsoft.com/office/drawing/2010/main">
      <mc:Choice Requires="a14">
        <xdr:graphicFrame macro="">
          <xdr:nvGraphicFramePr>
            <xdr:cNvPr id="4" name="Salesperson">
              <a:extLst>
                <a:ext uri="{FF2B5EF4-FFF2-40B4-BE49-F238E27FC236}">
                  <a16:creationId xmlns:a16="http://schemas.microsoft.com/office/drawing/2014/main" id="{3B330CD7-FD58-40EE-B0F3-6625D6826E6F}"/>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12115800" y="32918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22860</xdr:colOff>
      <xdr:row>3</xdr:row>
      <xdr:rowOff>45720</xdr:rowOff>
    </xdr:from>
    <xdr:to>
      <xdr:col>18</xdr:col>
      <xdr:colOff>22860</xdr:colOff>
      <xdr:row>16</xdr:row>
      <xdr:rowOff>135255</xdr:rowOff>
    </xdr:to>
    <mc:AlternateContent xmlns:mc="http://schemas.openxmlformats.org/markup-compatibility/2006" xmlns:a14="http://schemas.microsoft.com/office/drawing/2010/main">
      <mc:Choice Requires="a14">
        <xdr:graphicFrame macro="">
          <xdr:nvGraphicFramePr>
            <xdr:cNvPr id="5" name="Channel">
              <a:extLst>
                <a:ext uri="{FF2B5EF4-FFF2-40B4-BE49-F238E27FC236}">
                  <a16:creationId xmlns:a16="http://schemas.microsoft.com/office/drawing/2014/main" id="{A41ABF8C-00CA-4CCF-A6A4-E257AE5FA8F5}"/>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9989820" y="5943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289560</xdr:colOff>
      <xdr:row>3</xdr:row>
      <xdr:rowOff>30480</xdr:rowOff>
    </xdr:from>
    <xdr:to>
      <xdr:col>21</xdr:col>
      <xdr:colOff>289560</xdr:colOff>
      <xdr:row>16</xdr:row>
      <xdr:rowOff>120015</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71E3952B-EEE9-4C4B-859F-2EC5BEF8655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085320" y="5791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651510</xdr:colOff>
      <xdr:row>7</xdr:row>
      <xdr:rowOff>156210</xdr:rowOff>
    </xdr:from>
    <xdr:to>
      <xdr:col>9</xdr:col>
      <xdr:colOff>95250</xdr:colOff>
      <xdr:row>22</xdr:row>
      <xdr:rowOff>156210</xdr:rowOff>
    </xdr:to>
    <xdr:graphicFrame macro="">
      <xdr:nvGraphicFramePr>
        <xdr:cNvPr id="2" name="Chart 1">
          <a:extLst>
            <a:ext uri="{FF2B5EF4-FFF2-40B4-BE49-F238E27FC236}">
              <a16:creationId xmlns:a16="http://schemas.microsoft.com/office/drawing/2014/main" id="{EEAB69DA-701F-4BD3-812B-D4834CD92E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480060</xdr:colOff>
      <xdr:row>10</xdr:row>
      <xdr:rowOff>160020</xdr:rowOff>
    </xdr:from>
    <xdr:to>
      <xdr:col>11</xdr:col>
      <xdr:colOff>137160</xdr:colOff>
      <xdr:row>29</xdr:row>
      <xdr:rowOff>53340</xdr:rowOff>
    </xdr:to>
    <xdr:graphicFrame macro="">
      <xdr:nvGraphicFramePr>
        <xdr:cNvPr id="2" name="Chart 1">
          <a:extLst>
            <a:ext uri="{FF2B5EF4-FFF2-40B4-BE49-F238E27FC236}">
              <a16:creationId xmlns:a16="http://schemas.microsoft.com/office/drawing/2014/main" id="{3BEEC389-D06B-46DC-9774-9DD84A23F5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205740</xdr:colOff>
      <xdr:row>6</xdr:row>
      <xdr:rowOff>129540</xdr:rowOff>
    </xdr:from>
    <xdr:to>
      <xdr:col>13</xdr:col>
      <xdr:colOff>449580</xdr:colOff>
      <xdr:row>21</xdr:row>
      <xdr:rowOff>30480</xdr:rowOff>
    </xdr:to>
    <xdr:graphicFrame macro="">
      <xdr:nvGraphicFramePr>
        <xdr:cNvPr id="2" name="Chart 1">
          <a:extLst>
            <a:ext uri="{FF2B5EF4-FFF2-40B4-BE49-F238E27FC236}">
              <a16:creationId xmlns:a16="http://schemas.microsoft.com/office/drawing/2014/main" id="{87C6C6AF-757D-4DEF-852F-2FCCD30A0B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289560</xdr:colOff>
      <xdr:row>4</xdr:row>
      <xdr:rowOff>60960</xdr:rowOff>
    </xdr:from>
    <xdr:to>
      <xdr:col>12</xdr:col>
      <xdr:colOff>83820</xdr:colOff>
      <xdr:row>26</xdr:row>
      <xdr:rowOff>121920</xdr:rowOff>
    </xdr:to>
    <xdr:graphicFrame macro="">
      <xdr:nvGraphicFramePr>
        <xdr:cNvPr id="2" name="Chart 1">
          <a:extLst>
            <a:ext uri="{FF2B5EF4-FFF2-40B4-BE49-F238E27FC236}">
              <a16:creationId xmlns:a16="http://schemas.microsoft.com/office/drawing/2014/main" id="{F47D104B-4C22-4F2D-9C70-F4BC5ABA6A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ya" refreshedDate="46030.411676504627" createdVersion="7" refreshedVersion="7" minRefreshableVersion="3" recordCount="12" xr:uid="{252C6F7F-DF6E-4BA9-9A96-79427A060500}">
  <cacheSource type="worksheet">
    <worksheetSource name="Table1"/>
  </cacheSource>
  <cacheFields count="19">
    <cacheField name="OrderID" numFmtId="0">
      <sharedItems containsSemiMixedTypes="0" containsString="0" containsNumber="1" containsInteger="1" minValue="2001" maxValue="2012"/>
    </cacheField>
    <cacheField name="OrderDate" numFmtId="14">
      <sharedItems containsSemiMixedTypes="0" containsNonDate="0" containsDate="1" containsString="0" minDate="2025-01-01T00:00:00" maxDate="2025-12-02T00:00:00"/>
    </cacheField>
    <cacheField name="Region" numFmtId="0">
      <sharedItems count="4">
        <s v="East"/>
        <s v="West"/>
        <s v="North"/>
        <s v="South"/>
      </sharedItems>
    </cacheField>
    <cacheField name="Country" numFmtId="0">
      <sharedItems count="3">
        <s v="Egypt"/>
        <s v="KSA"/>
        <s v="UAE"/>
      </sharedItems>
    </cacheField>
    <cacheField name="City" numFmtId="0">
      <sharedItems/>
    </cacheField>
    <cacheField name="Salesperson" numFmtId="0">
      <sharedItems count="5">
        <s v="Ahmed"/>
        <s v="Sara"/>
        <s v="Mona"/>
        <s v="Omar"/>
        <s v="Lina"/>
      </sharedItems>
    </cacheField>
    <cacheField name="Channel" numFmtId="0">
      <sharedItems count="3">
        <s v="Online"/>
        <s v="Retail"/>
        <s v="Distributor"/>
      </sharedItems>
    </cacheField>
    <cacheField name="Product" numFmtId="0">
      <sharedItems/>
    </cacheField>
    <cacheField name="Category" numFmtId="0">
      <sharedItems count="2">
        <s v="Electronics"/>
        <s v="Accessories"/>
      </sharedItems>
    </cacheField>
    <cacheField name="UnitsSold" numFmtId="0">
      <sharedItems containsSemiMixedTypes="0" containsString="0" containsNumber="1" containsInteger="1" minValue="1" maxValue="15"/>
    </cacheField>
    <cacheField name="UnitPrice" numFmtId="165">
      <sharedItems containsSemiMixedTypes="0" containsString="0" containsNumber="1" containsInteger="1" minValue="240" maxValue="21000"/>
    </cacheField>
    <cacheField name="Discount" numFmtId="9">
      <sharedItems containsSemiMixedTypes="0" containsString="0" containsNumber="1" minValue="0" maxValue="0.1"/>
    </cacheField>
    <cacheField name="Gross Sales" numFmtId="165">
      <sharedItems containsSemiMixedTypes="0" containsString="0" containsNumber="1" containsInteger="1" minValue="2880" maxValue="39000"/>
    </cacheField>
    <cacheField name="Discount Amount" numFmtId="165">
      <sharedItems containsSemiMixedTypes="0" containsString="0" containsNumber="1" minValue="0" maxValue="3900"/>
    </cacheField>
    <cacheField name="Net Sales" numFmtId="164">
      <sharedItems containsSemiMixedTypes="0" containsString="0" containsNumber="1" minValue="2592" maxValue="35150"/>
    </cacheField>
    <cacheField name="Order Month" numFmtId="0">
      <sharedItems count="12">
        <s v="January"/>
        <s v="February"/>
        <s v="March"/>
        <s v="April"/>
        <s v="May"/>
        <s v="June"/>
        <s v="July"/>
        <s v="August"/>
        <s v="September"/>
        <s v="October"/>
        <s v="November"/>
        <s v="December"/>
      </sharedItems>
    </cacheField>
    <cacheField name="Order Quarter" numFmtId="0">
      <sharedItems count="4">
        <s v="Q1"/>
        <s v="Q2"/>
        <s v="Q3"/>
        <s v="Q4"/>
      </sharedItems>
    </cacheField>
    <cacheField name="Sales Band" numFmtId="0">
      <sharedItems count="3">
        <s v="High"/>
        <s v="Low"/>
        <s v="Medium"/>
      </sharedItems>
    </cacheField>
    <cacheField name="Profit " numFmtId="164">
      <sharedItems containsSemiMixedTypes="0" containsString="0" containsNumber="1" minValue="907.19999999999993" maxValue="7030"/>
    </cacheField>
  </cacheFields>
  <extLst>
    <ext xmlns:x14="http://schemas.microsoft.com/office/spreadsheetml/2009/9/main" uri="{725AE2AE-9491-48be-B2B4-4EB974FC3084}">
      <x14:pivotCacheDefinition pivotCacheId="12520628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n v="2001"/>
    <d v="2025-01-01T00:00:00"/>
    <x v="0"/>
    <x v="0"/>
    <s v="Cairo"/>
    <x v="0"/>
    <x v="0"/>
    <s v="Laptop"/>
    <x v="0"/>
    <n v="2"/>
    <n v="18500"/>
    <n v="0.05"/>
    <n v="37000"/>
    <n v="1850"/>
    <n v="35150"/>
    <x v="0"/>
    <x v="0"/>
    <x v="0"/>
    <n v="7030"/>
  </r>
  <r>
    <n v="2002"/>
    <d v="2025-02-01T00:00:00"/>
    <x v="1"/>
    <x v="0"/>
    <s v="Alex"/>
    <x v="1"/>
    <x v="1"/>
    <s v="Mouse"/>
    <x v="1"/>
    <n v="12"/>
    <n v="260"/>
    <n v="0"/>
    <n v="3120"/>
    <n v="0"/>
    <n v="3120"/>
    <x v="1"/>
    <x v="0"/>
    <x v="1"/>
    <n v="1092"/>
  </r>
  <r>
    <n v="2003"/>
    <d v="2025-03-01T00:00:00"/>
    <x v="0"/>
    <x v="0"/>
    <s v="Cairo"/>
    <x v="2"/>
    <x v="0"/>
    <s v="Keyboard"/>
    <x v="1"/>
    <n v="6"/>
    <n v="480"/>
    <n v="0.1"/>
    <n v="2880"/>
    <n v="288"/>
    <n v="2592"/>
    <x v="2"/>
    <x v="0"/>
    <x v="1"/>
    <n v="907.19999999999993"/>
  </r>
  <r>
    <n v="2004"/>
    <d v="2025-04-01T00:00:00"/>
    <x v="2"/>
    <x v="1"/>
    <s v="Riyadh"/>
    <x v="3"/>
    <x v="2"/>
    <s v="Laptop"/>
    <x v="0"/>
    <n v="1"/>
    <n v="21000"/>
    <n v="7.0000000000000007E-2"/>
    <n v="21000"/>
    <n v="1470.0000000000002"/>
    <n v="19530"/>
    <x v="3"/>
    <x v="1"/>
    <x v="2"/>
    <n v="3906"/>
  </r>
  <r>
    <n v="2005"/>
    <d v="2025-05-01T00:00:00"/>
    <x v="3"/>
    <x v="2"/>
    <s v="Dubai"/>
    <x v="4"/>
    <x v="1"/>
    <s v="Monitor"/>
    <x v="0"/>
    <n v="3"/>
    <n v="6200"/>
    <n v="0.05"/>
    <n v="18600"/>
    <n v="930"/>
    <n v="17670"/>
    <x v="4"/>
    <x v="1"/>
    <x v="2"/>
    <n v="3534"/>
  </r>
  <r>
    <n v="2006"/>
    <d v="2025-06-01T00:00:00"/>
    <x v="1"/>
    <x v="0"/>
    <s v="Alex"/>
    <x v="1"/>
    <x v="0"/>
    <s v="Laptop"/>
    <x v="0"/>
    <n v="2"/>
    <n v="17800"/>
    <n v="0.03"/>
    <n v="35600"/>
    <n v="1068"/>
    <n v="34532"/>
    <x v="5"/>
    <x v="1"/>
    <x v="0"/>
    <n v="6906.4000000000005"/>
  </r>
  <r>
    <n v="2007"/>
    <d v="2025-07-01T00:00:00"/>
    <x v="0"/>
    <x v="0"/>
    <s v="Giza"/>
    <x v="0"/>
    <x v="1"/>
    <s v="Mouse"/>
    <x v="1"/>
    <n v="15"/>
    <n v="240"/>
    <n v="0"/>
    <n v="3600"/>
    <n v="0"/>
    <n v="3600"/>
    <x v="6"/>
    <x v="2"/>
    <x v="1"/>
    <n v="1260"/>
  </r>
  <r>
    <n v="2008"/>
    <d v="2025-08-01T00:00:00"/>
    <x v="2"/>
    <x v="1"/>
    <s v="Jeddah"/>
    <x v="3"/>
    <x v="2"/>
    <s v="Monitor"/>
    <x v="0"/>
    <n v="2"/>
    <n v="6700"/>
    <n v="0.08"/>
    <n v="13400"/>
    <n v="1072"/>
    <n v="12328"/>
    <x v="7"/>
    <x v="2"/>
    <x v="2"/>
    <n v="2465.6000000000004"/>
  </r>
  <r>
    <n v="2009"/>
    <d v="2025-09-01T00:00:00"/>
    <x v="3"/>
    <x v="2"/>
    <s v="Abu Dhabi"/>
    <x v="4"/>
    <x v="0"/>
    <s v="Keyboard"/>
    <x v="1"/>
    <n v="7"/>
    <n v="500"/>
    <n v="0.05"/>
    <n v="3500"/>
    <n v="175"/>
    <n v="3325"/>
    <x v="8"/>
    <x v="2"/>
    <x v="1"/>
    <n v="1163.75"/>
  </r>
  <r>
    <n v="2010"/>
    <d v="2025-10-01T00:00:00"/>
    <x v="0"/>
    <x v="0"/>
    <s v="Cairo"/>
    <x v="2"/>
    <x v="1"/>
    <s v="Laptop"/>
    <x v="0"/>
    <n v="1"/>
    <n v="19000"/>
    <n v="0.06"/>
    <n v="19000"/>
    <n v="1140"/>
    <n v="17860"/>
    <x v="9"/>
    <x v="3"/>
    <x v="2"/>
    <n v="3572"/>
  </r>
  <r>
    <n v="2011"/>
    <d v="2025-11-01T00:00:00"/>
    <x v="1"/>
    <x v="0"/>
    <s v="Tanta"/>
    <x v="1"/>
    <x v="1"/>
    <s v="Keyboard"/>
    <x v="1"/>
    <n v="8"/>
    <n v="470"/>
    <n v="0.02"/>
    <n v="3760"/>
    <n v="75.2"/>
    <n v="3684.8"/>
    <x v="10"/>
    <x v="3"/>
    <x v="1"/>
    <n v="1289.68"/>
  </r>
  <r>
    <n v="2012"/>
    <d v="2025-12-01T00:00:00"/>
    <x v="3"/>
    <x v="2"/>
    <s v="Dubai"/>
    <x v="4"/>
    <x v="2"/>
    <s v="Laptop"/>
    <x v="0"/>
    <n v="2"/>
    <n v="19500"/>
    <n v="0.1"/>
    <n v="39000"/>
    <n v="3900"/>
    <n v="35100"/>
    <x v="11"/>
    <x v="3"/>
    <x v="0"/>
    <n v="70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E772F5-57F1-4C87-9072-337F735F27C2}" name="Net Sales by Region &amp; Channel"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Channels" colHeaderCaption="Regions">
  <location ref="A3:F8" firstHeaderRow="1" firstDataRow="2" firstDataCol="1"/>
  <pivotFields count="19">
    <pivotField showAll="0"/>
    <pivotField numFmtId="14" showAll="0"/>
    <pivotField axis="axisCol" showAll="0">
      <items count="5">
        <item x="0"/>
        <item x="2"/>
        <item x="3"/>
        <item x="1"/>
        <item t="default"/>
      </items>
    </pivotField>
    <pivotField showAll="0"/>
    <pivotField showAll="0"/>
    <pivotField showAll="0">
      <items count="6">
        <item x="0"/>
        <item x="4"/>
        <item x="2"/>
        <item x="3"/>
        <item x="1"/>
        <item t="default"/>
      </items>
    </pivotField>
    <pivotField axis="axisRow" showAll="0">
      <items count="4">
        <item x="2"/>
        <item x="0"/>
        <item x="1"/>
        <item t="default"/>
      </items>
    </pivotField>
    <pivotField showAll="0"/>
    <pivotField showAll="0">
      <items count="3">
        <item x="1"/>
        <item x="0"/>
        <item t="default"/>
      </items>
    </pivotField>
    <pivotField showAll="0"/>
    <pivotField numFmtId="165" showAll="0"/>
    <pivotField numFmtId="9" showAll="0"/>
    <pivotField numFmtId="165" showAll="0"/>
    <pivotField numFmtId="165" showAll="0"/>
    <pivotField dataField="1" numFmtId="164" showAll="0"/>
    <pivotField showAll="0"/>
    <pivotField showAll="0"/>
    <pivotField showAll="0"/>
    <pivotField numFmtId="164" showAll="0"/>
  </pivotFields>
  <rowFields count="1">
    <field x="6"/>
  </rowFields>
  <rowItems count="4">
    <i>
      <x/>
    </i>
    <i>
      <x v="1"/>
    </i>
    <i>
      <x v="2"/>
    </i>
    <i t="grand">
      <x/>
    </i>
  </rowItems>
  <colFields count="1">
    <field x="2"/>
  </colFields>
  <colItems count="5">
    <i>
      <x/>
    </i>
    <i>
      <x v="1"/>
    </i>
    <i>
      <x v="2"/>
    </i>
    <i>
      <x v="3"/>
    </i>
    <i t="grand">
      <x/>
    </i>
  </colItems>
  <dataFields count="1">
    <dataField name="Sum of Net Sales" fld="14" baseField="6" baseItem="0" numFmtId="164"/>
  </dataFields>
  <formats count="1">
    <format dxfId="20">
      <pivotArea type="all" dataOnly="0" outline="0" fieldPosition="0"/>
    </format>
  </formats>
  <chartFormats count="8">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2" format="8" series="1">
      <pivotArea type="data" outline="0" fieldPosition="0">
        <references count="2">
          <reference field="4294967294" count="1" selected="0">
            <x v="0"/>
          </reference>
          <reference field="2" count="1" selected="0">
            <x v="0"/>
          </reference>
        </references>
      </pivotArea>
    </chartFormat>
    <chartFormat chart="2" format="9" series="1">
      <pivotArea type="data" outline="0" fieldPosition="0">
        <references count="2">
          <reference field="4294967294" count="1" selected="0">
            <x v="0"/>
          </reference>
          <reference field="2" count="1" selected="0">
            <x v="1"/>
          </reference>
        </references>
      </pivotArea>
    </chartFormat>
    <chartFormat chart="2" format="10" series="1">
      <pivotArea type="data" outline="0" fieldPosition="0">
        <references count="2">
          <reference field="4294967294" count="1" selected="0">
            <x v="0"/>
          </reference>
          <reference field="2" count="1" selected="0">
            <x v="2"/>
          </reference>
        </references>
      </pivotArea>
    </chartFormat>
    <chartFormat chart="2" format="11" series="1">
      <pivotArea type="data" outline="0" fieldPosition="0">
        <references count="2">
          <reference field="4294967294" count="1" selected="0">
            <x v="0"/>
          </reference>
          <reference field="2" count="1" selected="0">
            <x v="3"/>
          </reference>
        </references>
      </pivotArea>
    </chartFormat>
  </chartFormats>
  <pivotTableStyleInfo name="PivotStyleMedium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1882E3-6E0E-4101-948D-C0CC74EB03FA}" name="Profit Analysis by Category"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6" firstHeaderRow="1" firstDataRow="1" firstDataCol="1"/>
  <pivotFields count="19">
    <pivotField showAll="0"/>
    <pivotField numFmtId="14" showAll="0"/>
    <pivotField showAll="0">
      <items count="5">
        <item x="0"/>
        <item x="2"/>
        <item x="3"/>
        <item x="1"/>
        <item t="default"/>
      </items>
    </pivotField>
    <pivotField showAll="0"/>
    <pivotField showAll="0"/>
    <pivotField showAll="0">
      <items count="6">
        <item x="0"/>
        <item x="4"/>
        <item x="2"/>
        <item x="3"/>
        <item x="1"/>
        <item t="default"/>
      </items>
    </pivotField>
    <pivotField showAll="0">
      <items count="4">
        <item x="2"/>
        <item x="0"/>
        <item x="1"/>
        <item t="default"/>
      </items>
    </pivotField>
    <pivotField showAll="0"/>
    <pivotField axis="axisRow" showAll="0">
      <items count="3">
        <item x="1"/>
        <item x="0"/>
        <item t="default"/>
      </items>
    </pivotField>
    <pivotField showAll="0"/>
    <pivotField numFmtId="165" showAll="0"/>
    <pivotField numFmtId="9" showAll="0"/>
    <pivotField numFmtId="165" showAll="0"/>
    <pivotField numFmtId="165" showAll="0"/>
    <pivotField numFmtId="164" showAll="0"/>
    <pivotField showAll="0"/>
    <pivotField showAll="0"/>
    <pivotField showAll="0"/>
    <pivotField dataField="1" numFmtId="164" showAll="0"/>
  </pivotFields>
  <rowFields count="1">
    <field x="8"/>
  </rowFields>
  <rowItems count="3">
    <i>
      <x/>
    </i>
    <i>
      <x v="1"/>
    </i>
    <i t="grand">
      <x/>
    </i>
  </rowItems>
  <colItems count="1">
    <i/>
  </colItems>
  <dataFields count="1">
    <dataField name="Sum of Profit " fld="18" baseField="8" baseItem="0" numFmtId="164"/>
  </dataFields>
  <formats count="6">
    <format dxfId="14">
      <pivotArea type="all" dataOnly="0" outline="0" fieldPosition="0"/>
    </format>
    <format dxfId="15">
      <pivotArea outline="0" collapsedLevelsAreSubtotals="1" fieldPosition="0"/>
    </format>
    <format dxfId="16">
      <pivotArea field="8" type="button" dataOnly="0" labelOnly="1" outline="0" axis="axisRow" fieldPosition="0"/>
    </format>
    <format dxfId="17">
      <pivotArea dataOnly="0" labelOnly="1" fieldPosition="0">
        <references count="1">
          <reference field="8" count="0"/>
        </references>
      </pivotArea>
    </format>
    <format dxfId="18">
      <pivotArea dataOnly="0" labelOnly="1" grandRow="1" outline="0" fieldPosition="0"/>
    </format>
    <format dxfId="19">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8" count="1" selected="0">
            <x v="0"/>
          </reference>
        </references>
      </pivotArea>
    </chartFormat>
    <chartFormat chart="2" format="8">
      <pivotArea type="data" outline="0" fieldPosition="0">
        <references count="2">
          <reference field="4294967294" count="1" selected="0">
            <x v="0"/>
          </reference>
          <reference field="8" count="1" selected="0">
            <x v="1"/>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16A859-6EFF-4B37-9367-0715A436EF47}" name="Salesperson Performance"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Salesperson">
  <location ref="A4:C10" firstHeaderRow="0" firstDataRow="1" firstDataCol="1" rowPageCount="2" colPageCount="1"/>
  <pivotFields count="19">
    <pivotField showAll="0"/>
    <pivotField numFmtId="14" showAll="0"/>
    <pivotField showAll="0">
      <items count="5">
        <item x="0"/>
        <item x="2"/>
        <item x="3"/>
        <item x="1"/>
        <item t="default"/>
      </items>
    </pivotField>
    <pivotField axis="axisPage" showAll="0">
      <items count="4">
        <item x="0"/>
        <item x="1"/>
        <item x="2"/>
        <item t="default"/>
      </items>
    </pivotField>
    <pivotField showAll="0"/>
    <pivotField axis="axisRow" showAll="0">
      <items count="6">
        <item x="0"/>
        <item x="4"/>
        <item x="2"/>
        <item x="3"/>
        <item x="1"/>
        <item t="default"/>
      </items>
    </pivotField>
    <pivotField axis="axisPage" showAll="0">
      <items count="4">
        <item x="2"/>
        <item x="0"/>
        <item x="1"/>
        <item t="default"/>
      </items>
    </pivotField>
    <pivotField showAll="0"/>
    <pivotField showAll="0">
      <items count="3">
        <item x="1"/>
        <item x="0"/>
        <item t="default"/>
      </items>
    </pivotField>
    <pivotField showAll="0"/>
    <pivotField numFmtId="165" showAll="0"/>
    <pivotField numFmtId="9" showAll="0"/>
    <pivotField numFmtId="165" showAll="0"/>
    <pivotField numFmtId="165" showAll="0"/>
    <pivotField dataField="1" numFmtId="164" showAll="0"/>
    <pivotField showAll="0"/>
    <pivotField showAll="0"/>
    <pivotField showAll="0"/>
    <pivotField dataField="1" numFmtId="164" showAll="0"/>
  </pivotFields>
  <rowFields count="1">
    <field x="5"/>
  </rowFields>
  <rowItems count="6">
    <i>
      <x/>
    </i>
    <i>
      <x v="1"/>
    </i>
    <i>
      <x v="2"/>
    </i>
    <i>
      <x v="3"/>
    </i>
    <i>
      <x v="4"/>
    </i>
    <i t="grand">
      <x/>
    </i>
  </rowItems>
  <colFields count="1">
    <field x="-2"/>
  </colFields>
  <colItems count="2">
    <i>
      <x/>
    </i>
    <i i="1">
      <x v="1"/>
    </i>
  </colItems>
  <pageFields count="2">
    <pageField fld="3" hier="-1"/>
    <pageField fld="6" hier="-1"/>
  </pageFields>
  <dataFields count="2">
    <dataField name="Sum of Net Sales" fld="14" baseField="5" baseItem="0" numFmtId="164"/>
    <dataField name="Sum of Profit " fld="18" baseField="5" baseItem="0" numFmtId="164"/>
  </dataFields>
  <formats count="6">
    <format dxfId="8">
      <pivotArea type="all" dataOnly="0" outline="0" fieldPosition="0"/>
    </format>
    <format dxfId="9">
      <pivotArea outline="0" collapsedLevelsAreSubtotals="1" fieldPosition="0"/>
    </format>
    <format dxfId="10">
      <pivotArea field="5" type="button" dataOnly="0" labelOnly="1" outline="0" axis="axisRow" fieldPosition="0"/>
    </format>
    <format dxfId="11">
      <pivotArea dataOnly="0" labelOnly="1" fieldPosition="0">
        <references count="1">
          <reference field="5" count="0"/>
        </references>
      </pivotArea>
    </format>
    <format dxfId="12">
      <pivotArea dataOnly="0" labelOnly="1" grandRow="1" outline="0" fieldPosition="0"/>
    </format>
    <format dxfId="13">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D05E487-FEBE-4DAB-9486-29BFCCAAC73F}" name="Time Analysi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Order Month">
  <location ref="A3:B16" firstHeaderRow="1" firstDataRow="1" firstDataCol="1" rowPageCount="1" colPageCount="1"/>
  <pivotFields count="19">
    <pivotField showAll="0"/>
    <pivotField numFmtId="14" showAll="0"/>
    <pivotField showAll="0">
      <items count="5">
        <item x="0"/>
        <item x="2"/>
        <item x="3"/>
        <item x="1"/>
        <item t="default"/>
      </items>
    </pivotField>
    <pivotField showAll="0"/>
    <pivotField showAll="0"/>
    <pivotField showAll="0">
      <items count="6">
        <item x="0"/>
        <item x="4"/>
        <item x="2"/>
        <item x="3"/>
        <item x="1"/>
        <item t="default"/>
      </items>
    </pivotField>
    <pivotField showAll="0">
      <items count="4">
        <item x="2"/>
        <item x="0"/>
        <item x="1"/>
        <item t="default"/>
      </items>
    </pivotField>
    <pivotField showAll="0"/>
    <pivotField showAll="0">
      <items count="3">
        <item x="1"/>
        <item x="0"/>
        <item t="default"/>
      </items>
    </pivotField>
    <pivotField showAll="0"/>
    <pivotField numFmtId="165" showAll="0"/>
    <pivotField numFmtId="9" showAll="0"/>
    <pivotField numFmtId="165" showAll="0"/>
    <pivotField numFmtId="165" showAll="0"/>
    <pivotField dataField="1" numFmtId="164" showAll="0"/>
    <pivotField axis="axisRow" showAll="0">
      <items count="13">
        <item x="0"/>
        <item x="1"/>
        <item x="2"/>
        <item x="3"/>
        <item x="4"/>
        <item x="5"/>
        <item x="6"/>
        <item x="7"/>
        <item x="8"/>
        <item x="9"/>
        <item x="10"/>
        <item x="11"/>
        <item t="default"/>
      </items>
    </pivotField>
    <pivotField axis="axisPage" showAll="0">
      <items count="5">
        <item x="0"/>
        <item x="1"/>
        <item x="2"/>
        <item x="3"/>
        <item t="default"/>
      </items>
    </pivotField>
    <pivotField showAll="0"/>
    <pivotField numFmtId="164" showAll="0"/>
  </pivotFields>
  <rowFields count="1">
    <field x="15"/>
  </rowFields>
  <rowItems count="13">
    <i>
      <x/>
    </i>
    <i>
      <x v="1"/>
    </i>
    <i>
      <x v="2"/>
    </i>
    <i>
      <x v="3"/>
    </i>
    <i>
      <x v="4"/>
    </i>
    <i>
      <x v="5"/>
    </i>
    <i>
      <x v="6"/>
    </i>
    <i>
      <x v="7"/>
    </i>
    <i>
      <x v="8"/>
    </i>
    <i>
      <x v="9"/>
    </i>
    <i>
      <x v="10"/>
    </i>
    <i>
      <x v="11"/>
    </i>
    <i t="grand">
      <x/>
    </i>
  </rowItems>
  <colItems count="1">
    <i/>
  </colItems>
  <pageFields count="1">
    <pageField fld="16" hier="-1"/>
  </pageFields>
  <dataFields count="1">
    <dataField name="Sum of Net Sales" fld="14" baseField="15" baseItem="11" numFmtId="164"/>
  </dataFields>
  <formats count="6">
    <format dxfId="2">
      <pivotArea type="all" dataOnly="0" outline="0" fieldPosition="0"/>
    </format>
    <format dxfId="3">
      <pivotArea outline="0" collapsedLevelsAreSubtotals="1" fieldPosition="0"/>
    </format>
    <format dxfId="4">
      <pivotArea field="15" type="button" dataOnly="0" labelOnly="1" outline="0" axis="axisRow" fieldPosition="0"/>
    </format>
    <format dxfId="5">
      <pivotArea dataOnly="0" labelOnly="1" fieldPosition="0">
        <references count="1">
          <reference field="15" count="0"/>
        </references>
      </pivotArea>
    </format>
    <format dxfId="6">
      <pivotArea dataOnly="0" labelOnly="1" grandRow="1" outline="0" fieldPosition="0"/>
    </format>
    <format dxfId="7">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1BA5180-E4D9-4D32-83F3-4A118F7E859C}" name="Sales Band Distribution"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C7" firstHeaderRow="0" firstDataRow="1" firstDataCol="1"/>
  <pivotFields count="19">
    <pivotField dataField="1" showAll="0"/>
    <pivotField numFmtId="14" showAll="0"/>
    <pivotField showAll="0">
      <items count="5">
        <item x="0"/>
        <item x="2"/>
        <item x="3"/>
        <item x="1"/>
        <item t="default"/>
      </items>
    </pivotField>
    <pivotField showAll="0"/>
    <pivotField showAll="0"/>
    <pivotField showAll="0">
      <items count="6">
        <item x="0"/>
        <item x="4"/>
        <item x="2"/>
        <item x="3"/>
        <item x="1"/>
        <item t="default"/>
      </items>
    </pivotField>
    <pivotField showAll="0">
      <items count="4">
        <item x="2"/>
        <item x="0"/>
        <item x="1"/>
        <item t="default"/>
      </items>
    </pivotField>
    <pivotField showAll="0"/>
    <pivotField showAll="0">
      <items count="3">
        <item x="1"/>
        <item x="0"/>
        <item t="default"/>
      </items>
    </pivotField>
    <pivotField showAll="0"/>
    <pivotField numFmtId="165" showAll="0"/>
    <pivotField numFmtId="9" showAll="0"/>
    <pivotField numFmtId="165" showAll="0"/>
    <pivotField numFmtId="165" showAll="0"/>
    <pivotField dataField="1" numFmtId="164" showAll="0"/>
    <pivotField showAll="0"/>
    <pivotField showAll="0"/>
    <pivotField axis="axisRow" showAll="0">
      <items count="4">
        <item x="0"/>
        <item x="1"/>
        <item x="2"/>
        <item t="default"/>
      </items>
    </pivotField>
    <pivotField numFmtId="164" showAll="0"/>
  </pivotFields>
  <rowFields count="1">
    <field x="17"/>
  </rowFields>
  <rowItems count="4">
    <i>
      <x/>
    </i>
    <i>
      <x v="1"/>
    </i>
    <i>
      <x v="2"/>
    </i>
    <i t="grand">
      <x/>
    </i>
  </rowItems>
  <colFields count="1">
    <field x="-2"/>
  </colFields>
  <colItems count="2">
    <i>
      <x/>
    </i>
    <i i="1">
      <x v="1"/>
    </i>
  </colItems>
  <dataFields count="2">
    <dataField name="Count of OrderID" fld="0" subtotal="count" baseField="17" baseItem="0"/>
    <dataField name="Sum of Net Sales" fld="14" baseField="17" baseItem="0" numFmtId="16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D89F5E6-D058-463D-8FDE-DF5B5E17FB83}" sourceName="Region">
  <pivotTables>
    <pivotTable tabId="3" name="Net Sales by Region &amp; Channel"/>
    <pivotTable tabId="5" name="Profit Analysis by Category"/>
    <pivotTable tabId="11" name="Sales Band Distribution"/>
    <pivotTable tabId="8" name="Salesperson Performance"/>
    <pivotTable tabId="10" name="Time Analysis"/>
  </pivotTables>
  <data>
    <tabular pivotCacheId="1252062804">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4AA27A89-B824-4433-A891-678640AE6D15}" sourceName="Salesperson">
  <pivotTables>
    <pivotTable tabId="3" name="Net Sales by Region &amp; Channel"/>
    <pivotTable tabId="5" name="Profit Analysis by Category"/>
    <pivotTable tabId="11" name="Sales Band Distribution"/>
    <pivotTable tabId="8" name="Salesperson Performance"/>
    <pivotTable tabId="10" name="Time Analysis"/>
  </pivotTables>
  <data>
    <tabular pivotCacheId="1252062804">
      <items count="5">
        <i x="0" s="1"/>
        <i x="4" s="1"/>
        <i x="2"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C1781D0F-ADCA-4DC9-8AA8-CDE1599BC034}" sourceName="Channel">
  <pivotTables>
    <pivotTable tabId="3" name="Net Sales by Region &amp; Channel"/>
    <pivotTable tabId="5" name="Profit Analysis by Category"/>
    <pivotTable tabId="11" name="Sales Band Distribution"/>
    <pivotTable tabId="8" name="Salesperson Performance"/>
    <pivotTable tabId="10" name="Time Analysis"/>
  </pivotTables>
  <data>
    <tabular pivotCacheId="1252062804">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7429D1F-C644-4E68-A59F-133425E37849}" sourceName="Category">
  <pivotTables>
    <pivotTable tabId="3" name="Net Sales by Region &amp; Channel"/>
    <pivotTable tabId="5" name="Profit Analysis by Category"/>
    <pivotTable tabId="11" name="Sales Band Distribution"/>
    <pivotTable tabId="8" name="Salesperson Performance"/>
    <pivotTable tabId="10" name="Time Analysis"/>
  </pivotTables>
  <data>
    <tabular pivotCacheId="125206280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9224E48E-BDFB-493D-8737-B207074A3540}" cache="Slicer_Region" caption="Region" columnCount="2" style="Slicer Style 6" rowHeight="155448"/>
  <slicer name="Salesperson 1" xr10:uid="{F6A8A775-861A-4AEB-97AC-B798154F15D3}" cache="Slicer_Salesperson" caption="Salesperson" columnCount="2" style="Slicer Style 6" rowHeight="155448"/>
  <slicer name="Channel 1" xr10:uid="{0A68FF2C-9F71-42F3-94A4-5133D1F55042}" cache="Slicer_Channel" caption="Channel" style="Slicer Style 6" rowHeight="155448"/>
  <slicer name="Category 1" xr10:uid="{57919571-DF43-430E-A9A0-BCC25EDB1545}" cache="Slicer_Category" caption="Category" style="Slicer Style 6" rowHeight="155448"/>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C2E74AE-D91B-4DD1-AC06-56D3F2AF1CB7}" cache="Slicer_Region" caption="Region" rowHeight="234950"/>
  <slicer name="Salesperson" xr10:uid="{CE6732E7-3027-47F3-86E4-97D48A1E7261}" cache="Slicer_Salesperson" caption="Salesperson" rowHeight="234950"/>
  <slicer name="Channel" xr10:uid="{763F4203-E84C-456F-8D69-1DE8ED9AE79D}" cache="Slicer_Channel" caption="Channel" rowHeight="234950"/>
  <slicer name="Category" xr10:uid="{FDA631F2-F432-479A-A91D-34A42163038E}"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CFA9F2-59DE-4DF8-A522-6CACC0201280}" name="Table1" displayName="Table1" ref="A1:S14" totalsRowCount="1" headerRowDxfId="64" dataDxfId="63">
  <autoFilter ref="A1:S13" xr:uid="{CDCFA9F2-59DE-4DF8-A522-6CACC0201280}"/>
  <tableColumns count="19">
    <tableColumn id="1" xr3:uid="{BBA27A4E-FF73-44F0-B827-DF9E89CD9C5C}" name="OrderID" totalsRowFunction="custom" dataDxfId="62" totalsRowDxfId="61">
      <totalsRowFormula>COUNT(Table1[OrderID])</totalsRowFormula>
    </tableColumn>
    <tableColumn id="2" xr3:uid="{D6D46074-BDAB-4E49-851B-5C1E2422D58A}" name="OrderDate" dataDxfId="60" totalsRowDxfId="59"/>
    <tableColumn id="3" xr3:uid="{11DAFD2D-A8A3-4674-9E7C-399605BE59A3}" name="Region" dataDxfId="58" totalsRowDxfId="57"/>
    <tableColumn id="4" xr3:uid="{A342EFB4-3BA6-4D66-8887-3EA743B1DC35}" name="Country" dataDxfId="56" totalsRowDxfId="55"/>
    <tableColumn id="5" xr3:uid="{AB7066B1-83DE-48B0-B5C1-9C3E6036323E}" name="City" dataDxfId="54" totalsRowDxfId="53"/>
    <tableColumn id="6" xr3:uid="{BD70E45C-7FE0-4357-BA2A-48219A2F8E88}" name="Salesperson" dataDxfId="52" totalsRowDxfId="51"/>
    <tableColumn id="7" xr3:uid="{C8E17130-D6A2-4345-807E-771ABABF4C72}" name="Channel" dataDxfId="50" totalsRowDxfId="49"/>
    <tableColumn id="8" xr3:uid="{A0D397AF-971D-4698-9789-06F754562678}" name="Product" dataDxfId="48" totalsRowDxfId="47"/>
    <tableColumn id="9" xr3:uid="{B6F2FEC1-9FD5-4C02-86A8-ADDA36D0D0D9}" name="Category" dataDxfId="46" totalsRowDxfId="45"/>
    <tableColumn id="10" xr3:uid="{5B67583A-AD99-47B7-8927-57140B5BB4B5}" name="UnitsSold" dataDxfId="44" totalsRowDxfId="43"/>
    <tableColumn id="11" xr3:uid="{E6A41086-369E-43BD-A0F1-A23374A5C340}" name="UnitPrice" dataDxfId="42" totalsRowDxfId="41"/>
    <tableColumn id="12" xr3:uid="{84638D1E-0B6A-4A8E-978E-02DC1650FDA0}" name="Discount" dataDxfId="40" totalsRowDxfId="39"/>
    <tableColumn id="13" xr3:uid="{D3E8DE48-200D-4F31-A97C-3C4B1D4DC310}" name="Gross Sales" dataDxfId="38" totalsRowDxfId="37">
      <calculatedColumnFormula>J2*K2</calculatedColumnFormula>
    </tableColumn>
    <tableColumn id="14" xr3:uid="{73A35DE2-C923-427D-B0E5-19EF28D752FC}" name="Discount Amount" dataDxfId="36" totalsRowDxfId="35">
      <calculatedColumnFormula>M2*L2</calculatedColumnFormula>
    </tableColumn>
    <tableColumn id="15" xr3:uid="{B1644D85-4ED4-47E8-93AC-0B75C9900EDE}" name="Net Sales" totalsRowFunction="custom" dataDxfId="34" totalsRowDxfId="33">
      <calculatedColumnFormula>M2-N2</calculatedColumnFormula>
      <totalsRowFormula>SUM(Table1[Net Sales])</totalsRowFormula>
    </tableColumn>
    <tableColumn id="16" xr3:uid="{A5E57422-E88B-446B-9326-74260DA01234}" name="Order Month" dataDxfId="32" totalsRowDxfId="31">
      <calculatedColumnFormula>TEXT(B2,"mmmm")</calculatedColumnFormula>
    </tableColumn>
    <tableColumn id="17" xr3:uid="{378A73DF-9A75-4D85-AA44-578D089BFB74}" name="Order Quarter" dataDxfId="30" totalsRowDxfId="29">
      <calculatedColumnFormula>"Q" &amp; ROUNDUP(MONTH(B2)/3,0)</calculatedColumnFormula>
    </tableColumn>
    <tableColumn id="18" xr3:uid="{EE0924F8-729F-42FA-9583-FCF2573EBB3B}" name="Sales Band" dataDxfId="28" totalsRowDxfId="27">
      <calculatedColumnFormula>IF(O2&gt;=30000,"High",IF(AND(O2&gt;=10000,O2&lt;=29999),"Medium","Low"))</calculatedColumnFormula>
    </tableColumn>
    <tableColumn id="19" xr3:uid="{9953CE36-A155-448F-B201-34B4C903D336}" name="Profit " totalsRowFunction="custom" dataDxfId="26" totalsRowDxfId="25">
      <calculatedColumnFormula>IF(I2="Electronics",O2*0.2,IF(I2="Accessories",O2*0.35,0))</calculatedColumnFormula>
      <totalsRowFormula>SUM(Table1[[Profit ]])</totalsRow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D865C-58AE-4A69-803C-806CE9CA5F81}">
  <sheetPr>
    <tabColor theme="4"/>
  </sheetPr>
  <dimension ref="A4"/>
  <sheetViews>
    <sheetView showGridLines="0" tabSelected="1" zoomScaleNormal="100" workbookViewId="0">
      <selection activeCell="V19" sqref="V19"/>
    </sheetView>
  </sheetViews>
  <sheetFormatPr defaultRowHeight="14.4" x14ac:dyDescent="0.3"/>
  <cols>
    <col min="1" max="1" width="21.88671875" style="20" customWidth="1"/>
    <col min="2" max="16384" width="8.88671875" style="21"/>
  </cols>
  <sheetData>
    <row r="4" ht="46.2" customHeight="1"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46F85-4734-4103-A3FE-7A90F511B10A}">
  <sheetPr>
    <tabColor theme="4"/>
  </sheetPr>
  <dimension ref="A1:S14"/>
  <sheetViews>
    <sheetView topLeftCell="H1" zoomScale="90" zoomScaleNormal="90" workbookViewId="0">
      <selection activeCell="S2" sqref="S2"/>
    </sheetView>
  </sheetViews>
  <sheetFormatPr defaultRowHeight="14.4" x14ac:dyDescent="0.3"/>
  <cols>
    <col min="1" max="1" width="12.6640625" style="4" customWidth="1"/>
    <col min="2" max="2" width="16" style="4" customWidth="1"/>
    <col min="3" max="3" width="12" style="4" customWidth="1"/>
    <col min="4" max="4" width="12.88671875" style="4" customWidth="1"/>
    <col min="5" max="5" width="8.88671875" style="4"/>
    <col min="6" max="6" width="18.6640625" style="4" customWidth="1"/>
    <col min="7" max="7" width="13.5546875" style="4" customWidth="1"/>
    <col min="8" max="8" width="13.109375" style="4" customWidth="1"/>
    <col min="9" max="9" width="14.44140625" style="4" customWidth="1"/>
    <col min="10" max="10" width="15.109375" style="4" customWidth="1"/>
    <col min="11" max="11" width="14.6640625" style="9" customWidth="1"/>
    <col min="12" max="12" width="14.21875" style="4" customWidth="1"/>
    <col min="13" max="13" width="18" style="9" customWidth="1"/>
    <col min="14" max="14" width="24.21875" style="4" customWidth="1"/>
    <col min="15" max="15" width="15.109375" style="10" customWidth="1"/>
    <col min="16" max="16" width="18.44140625" style="4" customWidth="1"/>
    <col min="17" max="17" width="20.21875" style="4" customWidth="1"/>
    <col min="18" max="18" width="17.33203125" style="4" customWidth="1"/>
    <col min="19" max="19" width="11.77734375" style="10" customWidth="1"/>
    <col min="20" max="16384" width="8.88671875" style="4"/>
  </cols>
  <sheetData>
    <row r="1" spans="1:19" ht="16.8" x14ac:dyDescent="0.3">
      <c r="A1" s="2" t="s">
        <v>0</v>
      </c>
      <c r="B1" s="2" t="s">
        <v>1</v>
      </c>
      <c r="C1" s="2" t="s">
        <v>2</v>
      </c>
      <c r="D1" s="2" t="s">
        <v>3</v>
      </c>
      <c r="E1" s="2" t="s">
        <v>4</v>
      </c>
      <c r="F1" s="2" t="s">
        <v>5</v>
      </c>
      <c r="G1" s="2" t="s">
        <v>6</v>
      </c>
      <c r="H1" s="2" t="s">
        <v>7</v>
      </c>
      <c r="I1" s="2" t="s">
        <v>8</v>
      </c>
      <c r="J1" s="2" t="s">
        <v>9</v>
      </c>
      <c r="K1" s="3" t="s">
        <v>10</v>
      </c>
      <c r="L1" s="2" t="s">
        <v>11</v>
      </c>
      <c r="M1" s="3" t="s">
        <v>41</v>
      </c>
      <c r="N1" s="2" t="s">
        <v>42</v>
      </c>
      <c r="O1" s="12" t="s">
        <v>43</v>
      </c>
      <c r="P1" s="2" t="s">
        <v>44</v>
      </c>
      <c r="Q1" s="2" t="s">
        <v>45</v>
      </c>
      <c r="R1" s="2" t="s">
        <v>46</v>
      </c>
      <c r="S1" s="11" t="s">
        <v>47</v>
      </c>
    </row>
    <row r="2" spans="1:19" ht="15.6" x14ac:dyDescent="0.3">
      <c r="A2" s="5">
        <v>2001</v>
      </c>
      <c r="B2" s="6">
        <v>45658</v>
      </c>
      <c r="C2" s="5" t="s">
        <v>12</v>
      </c>
      <c r="D2" s="5" t="s">
        <v>13</v>
      </c>
      <c r="E2" s="5" t="s">
        <v>14</v>
      </c>
      <c r="F2" s="5" t="s">
        <v>15</v>
      </c>
      <c r="G2" s="5" t="s">
        <v>16</v>
      </c>
      <c r="H2" s="5" t="s">
        <v>17</v>
      </c>
      <c r="I2" s="5" t="s">
        <v>18</v>
      </c>
      <c r="J2" s="5">
        <v>2</v>
      </c>
      <c r="K2" s="7">
        <v>18500</v>
      </c>
      <c r="L2" s="8">
        <v>0.05</v>
      </c>
      <c r="M2" s="9">
        <f>J2*K2</f>
        <v>37000</v>
      </c>
      <c r="N2" s="9">
        <f>M2*L2</f>
        <v>1850</v>
      </c>
      <c r="O2" s="10">
        <f>M2-N2</f>
        <v>35150</v>
      </c>
      <c r="P2" s="4" t="str">
        <f>TEXT(B2,"mmmm")</f>
        <v>January</v>
      </c>
      <c r="Q2" s="4" t="str">
        <f>"Q" &amp; ROUNDUP(MONTH(B2)/3,0)</f>
        <v>Q1</v>
      </c>
      <c r="R2" s="4" t="str">
        <f>IF(O2&gt;=30000,"High",IF(AND(O2&gt;=10000,O2&lt;=29999),"Medium","Low"))</f>
        <v>High</v>
      </c>
      <c r="S2" s="10">
        <f>IF(I2="Electronics",O2*0.2,IF(I2="Accessories",O2*0.35,0))</f>
        <v>7030</v>
      </c>
    </row>
    <row r="3" spans="1:19" ht="15.6" x14ac:dyDescent="0.3">
      <c r="A3" s="5">
        <v>2002</v>
      </c>
      <c r="B3" s="6">
        <v>45689</v>
      </c>
      <c r="C3" s="5" t="s">
        <v>19</v>
      </c>
      <c r="D3" s="5" t="s">
        <v>13</v>
      </c>
      <c r="E3" s="5" t="s">
        <v>20</v>
      </c>
      <c r="F3" s="5" t="s">
        <v>21</v>
      </c>
      <c r="G3" s="5" t="s">
        <v>22</v>
      </c>
      <c r="H3" s="5" t="s">
        <v>23</v>
      </c>
      <c r="I3" s="5" t="s">
        <v>24</v>
      </c>
      <c r="J3" s="5">
        <v>12</v>
      </c>
      <c r="K3" s="7">
        <v>260</v>
      </c>
      <c r="L3" s="8">
        <v>0</v>
      </c>
      <c r="M3" s="9">
        <f t="shared" ref="M3:M13" si="0">J3*K3</f>
        <v>3120</v>
      </c>
      <c r="N3" s="9">
        <f t="shared" ref="N3:N13" si="1">M3*L3</f>
        <v>0</v>
      </c>
      <c r="O3" s="10">
        <f t="shared" ref="O3:O13" si="2">M3-N3</f>
        <v>3120</v>
      </c>
      <c r="P3" s="4" t="str">
        <f t="shared" ref="P3:P13" si="3">TEXT(B3,"mmmm")</f>
        <v>February</v>
      </c>
      <c r="Q3" s="4" t="str">
        <f t="shared" ref="Q3:Q13" si="4">"Q" &amp; ROUNDUP(MONTH(B3)/3,0)</f>
        <v>Q1</v>
      </c>
      <c r="R3" s="4" t="str">
        <f t="shared" ref="R3:R13" si="5">IF(O3&gt;=30000,"High",IF(AND(O3&gt;=10000,O3&lt;=29999),"Medium","Low"))</f>
        <v>Low</v>
      </c>
      <c r="S3" s="10">
        <f t="shared" ref="S3:S13" si="6">IF(I3="Electronics",O3*0.2,IF(I3="Accessories",O3*0.35,0))</f>
        <v>1092</v>
      </c>
    </row>
    <row r="4" spans="1:19" ht="15.6" x14ac:dyDescent="0.3">
      <c r="A4" s="5">
        <v>2003</v>
      </c>
      <c r="B4" s="6">
        <v>45717</v>
      </c>
      <c r="C4" s="5" t="s">
        <v>12</v>
      </c>
      <c r="D4" s="5" t="s">
        <v>13</v>
      </c>
      <c r="E4" s="5" t="s">
        <v>14</v>
      </c>
      <c r="F4" s="5" t="s">
        <v>25</v>
      </c>
      <c r="G4" s="5" t="s">
        <v>16</v>
      </c>
      <c r="H4" s="5" t="s">
        <v>26</v>
      </c>
      <c r="I4" s="5" t="s">
        <v>24</v>
      </c>
      <c r="J4" s="5">
        <v>6</v>
      </c>
      <c r="K4" s="7">
        <v>480</v>
      </c>
      <c r="L4" s="8">
        <v>0.1</v>
      </c>
      <c r="M4" s="9">
        <f t="shared" si="0"/>
        <v>2880</v>
      </c>
      <c r="N4" s="9">
        <f t="shared" si="1"/>
        <v>288</v>
      </c>
      <c r="O4" s="10">
        <f t="shared" si="2"/>
        <v>2592</v>
      </c>
      <c r="P4" s="4" t="str">
        <f t="shared" si="3"/>
        <v>March</v>
      </c>
      <c r="Q4" s="4" t="str">
        <f t="shared" si="4"/>
        <v>Q1</v>
      </c>
      <c r="R4" s="4" t="str">
        <f t="shared" si="5"/>
        <v>Low</v>
      </c>
      <c r="S4" s="10">
        <f t="shared" si="6"/>
        <v>907.19999999999993</v>
      </c>
    </row>
    <row r="5" spans="1:19" ht="31.2" x14ac:dyDescent="0.3">
      <c r="A5" s="5">
        <v>2004</v>
      </c>
      <c r="B5" s="6">
        <v>45748</v>
      </c>
      <c r="C5" s="5" t="s">
        <v>27</v>
      </c>
      <c r="D5" s="5" t="s">
        <v>28</v>
      </c>
      <c r="E5" s="5" t="s">
        <v>29</v>
      </c>
      <c r="F5" s="5" t="s">
        <v>30</v>
      </c>
      <c r="G5" s="5" t="s">
        <v>31</v>
      </c>
      <c r="H5" s="5" t="s">
        <v>17</v>
      </c>
      <c r="I5" s="5" t="s">
        <v>18</v>
      </c>
      <c r="J5" s="5">
        <v>1</v>
      </c>
      <c r="K5" s="7">
        <v>21000</v>
      </c>
      <c r="L5" s="8">
        <v>7.0000000000000007E-2</v>
      </c>
      <c r="M5" s="9">
        <f t="shared" si="0"/>
        <v>21000</v>
      </c>
      <c r="N5" s="9">
        <f t="shared" si="1"/>
        <v>1470.0000000000002</v>
      </c>
      <c r="O5" s="10">
        <f t="shared" si="2"/>
        <v>19530</v>
      </c>
      <c r="P5" s="4" t="str">
        <f t="shared" si="3"/>
        <v>April</v>
      </c>
      <c r="Q5" s="4" t="str">
        <f t="shared" si="4"/>
        <v>Q2</v>
      </c>
      <c r="R5" s="4" t="str">
        <f t="shared" si="5"/>
        <v>Medium</v>
      </c>
      <c r="S5" s="10">
        <f t="shared" si="6"/>
        <v>3906</v>
      </c>
    </row>
    <row r="6" spans="1:19" ht="15.6" x14ac:dyDescent="0.3">
      <c r="A6" s="5">
        <v>2005</v>
      </c>
      <c r="B6" s="6">
        <v>45778</v>
      </c>
      <c r="C6" s="5" t="s">
        <v>32</v>
      </c>
      <c r="D6" s="5" t="s">
        <v>33</v>
      </c>
      <c r="E6" s="5" t="s">
        <v>34</v>
      </c>
      <c r="F6" s="5" t="s">
        <v>35</v>
      </c>
      <c r="G6" s="5" t="s">
        <v>22</v>
      </c>
      <c r="H6" s="5" t="s">
        <v>36</v>
      </c>
      <c r="I6" s="5" t="s">
        <v>18</v>
      </c>
      <c r="J6" s="5">
        <v>3</v>
      </c>
      <c r="K6" s="7">
        <v>6200</v>
      </c>
      <c r="L6" s="8">
        <v>0.05</v>
      </c>
      <c r="M6" s="9">
        <f t="shared" si="0"/>
        <v>18600</v>
      </c>
      <c r="N6" s="9">
        <f t="shared" si="1"/>
        <v>930</v>
      </c>
      <c r="O6" s="10">
        <f t="shared" si="2"/>
        <v>17670</v>
      </c>
      <c r="P6" s="4" t="str">
        <f t="shared" si="3"/>
        <v>May</v>
      </c>
      <c r="Q6" s="4" t="str">
        <f t="shared" si="4"/>
        <v>Q2</v>
      </c>
      <c r="R6" s="4" t="str">
        <f t="shared" si="5"/>
        <v>Medium</v>
      </c>
      <c r="S6" s="10">
        <f t="shared" si="6"/>
        <v>3534</v>
      </c>
    </row>
    <row r="7" spans="1:19" ht="15.6" x14ac:dyDescent="0.3">
      <c r="A7" s="5">
        <v>2006</v>
      </c>
      <c r="B7" s="6">
        <v>45809</v>
      </c>
      <c r="C7" s="5" t="s">
        <v>19</v>
      </c>
      <c r="D7" s="5" t="s">
        <v>13</v>
      </c>
      <c r="E7" s="5" t="s">
        <v>20</v>
      </c>
      <c r="F7" s="5" t="s">
        <v>21</v>
      </c>
      <c r="G7" s="5" t="s">
        <v>16</v>
      </c>
      <c r="H7" s="5" t="s">
        <v>17</v>
      </c>
      <c r="I7" s="5" t="s">
        <v>18</v>
      </c>
      <c r="J7" s="5">
        <v>2</v>
      </c>
      <c r="K7" s="7">
        <v>17800</v>
      </c>
      <c r="L7" s="8">
        <v>0.03</v>
      </c>
      <c r="M7" s="9">
        <f t="shared" si="0"/>
        <v>35600</v>
      </c>
      <c r="N7" s="9">
        <f t="shared" si="1"/>
        <v>1068</v>
      </c>
      <c r="O7" s="10">
        <f t="shared" si="2"/>
        <v>34532</v>
      </c>
      <c r="P7" s="4" t="str">
        <f t="shared" si="3"/>
        <v>June</v>
      </c>
      <c r="Q7" s="4" t="str">
        <f t="shared" si="4"/>
        <v>Q2</v>
      </c>
      <c r="R7" s="4" t="str">
        <f t="shared" si="5"/>
        <v>High</v>
      </c>
      <c r="S7" s="10">
        <f t="shared" si="6"/>
        <v>6906.4000000000005</v>
      </c>
    </row>
    <row r="8" spans="1:19" ht="31.2" x14ac:dyDescent="0.3">
      <c r="A8" s="5">
        <v>2007</v>
      </c>
      <c r="B8" s="6">
        <v>45839</v>
      </c>
      <c r="C8" s="5" t="s">
        <v>12</v>
      </c>
      <c r="D8" s="5" t="s">
        <v>13</v>
      </c>
      <c r="E8" s="5" t="s">
        <v>37</v>
      </c>
      <c r="F8" s="5" t="s">
        <v>15</v>
      </c>
      <c r="G8" s="5" t="s">
        <v>22</v>
      </c>
      <c r="H8" s="5" t="s">
        <v>23</v>
      </c>
      <c r="I8" s="5" t="s">
        <v>24</v>
      </c>
      <c r="J8" s="5">
        <v>15</v>
      </c>
      <c r="K8" s="7">
        <v>240</v>
      </c>
      <c r="L8" s="8">
        <v>0</v>
      </c>
      <c r="M8" s="9">
        <f t="shared" si="0"/>
        <v>3600</v>
      </c>
      <c r="N8" s="9">
        <f t="shared" si="1"/>
        <v>0</v>
      </c>
      <c r="O8" s="10">
        <f t="shared" si="2"/>
        <v>3600</v>
      </c>
      <c r="P8" s="4" t="str">
        <f t="shared" si="3"/>
        <v>July</v>
      </c>
      <c r="Q8" s="4" t="str">
        <f t="shared" si="4"/>
        <v>Q3</v>
      </c>
      <c r="R8" s="4" t="str">
        <f t="shared" si="5"/>
        <v>Low</v>
      </c>
      <c r="S8" s="10">
        <f t="shared" si="6"/>
        <v>1260</v>
      </c>
    </row>
    <row r="9" spans="1:19" ht="31.2" x14ac:dyDescent="0.3">
      <c r="A9" s="5">
        <v>2008</v>
      </c>
      <c r="B9" s="6">
        <v>45870</v>
      </c>
      <c r="C9" s="5" t="s">
        <v>27</v>
      </c>
      <c r="D9" s="5" t="s">
        <v>28</v>
      </c>
      <c r="E9" s="5" t="s">
        <v>38</v>
      </c>
      <c r="F9" s="5" t="s">
        <v>30</v>
      </c>
      <c r="G9" s="5" t="s">
        <v>31</v>
      </c>
      <c r="H9" s="5" t="s">
        <v>36</v>
      </c>
      <c r="I9" s="5" t="s">
        <v>18</v>
      </c>
      <c r="J9" s="5">
        <v>2</v>
      </c>
      <c r="K9" s="7">
        <v>6700</v>
      </c>
      <c r="L9" s="8">
        <v>0.08</v>
      </c>
      <c r="M9" s="9">
        <f t="shared" si="0"/>
        <v>13400</v>
      </c>
      <c r="N9" s="9">
        <f t="shared" si="1"/>
        <v>1072</v>
      </c>
      <c r="O9" s="10">
        <f t="shared" si="2"/>
        <v>12328</v>
      </c>
      <c r="P9" s="4" t="str">
        <f t="shared" si="3"/>
        <v>August</v>
      </c>
      <c r="Q9" s="4" t="str">
        <f t="shared" si="4"/>
        <v>Q3</v>
      </c>
      <c r="R9" s="4" t="str">
        <f t="shared" si="5"/>
        <v>Medium</v>
      </c>
      <c r="S9" s="10">
        <f t="shared" si="6"/>
        <v>2465.6000000000004</v>
      </c>
    </row>
    <row r="10" spans="1:19" ht="31.2" x14ac:dyDescent="0.3">
      <c r="A10" s="5">
        <v>2009</v>
      </c>
      <c r="B10" s="6">
        <v>45901</v>
      </c>
      <c r="C10" s="5" t="s">
        <v>32</v>
      </c>
      <c r="D10" s="5" t="s">
        <v>33</v>
      </c>
      <c r="E10" s="5" t="s">
        <v>39</v>
      </c>
      <c r="F10" s="5" t="s">
        <v>35</v>
      </c>
      <c r="G10" s="5" t="s">
        <v>16</v>
      </c>
      <c r="H10" s="5" t="s">
        <v>26</v>
      </c>
      <c r="I10" s="5" t="s">
        <v>24</v>
      </c>
      <c r="J10" s="5">
        <v>7</v>
      </c>
      <c r="K10" s="7">
        <v>500</v>
      </c>
      <c r="L10" s="8">
        <v>0.05</v>
      </c>
      <c r="M10" s="9">
        <f t="shared" si="0"/>
        <v>3500</v>
      </c>
      <c r="N10" s="9">
        <f t="shared" si="1"/>
        <v>175</v>
      </c>
      <c r="O10" s="10">
        <f t="shared" si="2"/>
        <v>3325</v>
      </c>
      <c r="P10" s="4" t="str">
        <f t="shared" si="3"/>
        <v>September</v>
      </c>
      <c r="Q10" s="4" t="str">
        <f t="shared" si="4"/>
        <v>Q3</v>
      </c>
      <c r="R10" s="4" t="str">
        <f t="shared" si="5"/>
        <v>Low</v>
      </c>
      <c r="S10" s="10">
        <f t="shared" si="6"/>
        <v>1163.75</v>
      </c>
    </row>
    <row r="11" spans="1:19" ht="15.6" x14ac:dyDescent="0.3">
      <c r="A11" s="5">
        <v>2010</v>
      </c>
      <c r="B11" s="6">
        <v>45931</v>
      </c>
      <c r="C11" s="5" t="s">
        <v>12</v>
      </c>
      <c r="D11" s="5" t="s">
        <v>13</v>
      </c>
      <c r="E11" s="5" t="s">
        <v>14</v>
      </c>
      <c r="F11" s="5" t="s">
        <v>25</v>
      </c>
      <c r="G11" s="5" t="s">
        <v>22</v>
      </c>
      <c r="H11" s="5" t="s">
        <v>17</v>
      </c>
      <c r="I11" s="5" t="s">
        <v>18</v>
      </c>
      <c r="J11" s="5">
        <v>1</v>
      </c>
      <c r="K11" s="7">
        <v>19000</v>
      </c>
      <c r="L11" s="8">
        <v>0.06</v>
      </c>
      <c r="M11" s="9">
        <f t="shared" si="0"/>
        <v>19000</v>
      </c>
      <c r="N11" s="9">
        <f t="shared" si="1"/>
        <v>1140</v>
      </c>
      <c r="O11" s="10">
        <f t="shared" si="2"/>
        <v>17860</v>
      </c>
      <c r="P11" s="4" t="str">
        <f t="shared" si="3"/>
        <v>October</v>
      </c>
      <c r="Q11" s="4" t="str">
        <f t="shared" si="4"/>
        <v>Q4</v>
      </c>
      <c r="R11" s="4" t="str">
        <f t="shared" si="5"/>
        <v>Medium</v>
      </c>
      <c r="S11" s="10">
        <f t="shared" si="6"/>
        <v>3572</v>
      </c>
    </row>
    <row r="12" spans="1:19" ht="31.2" x14ac:dyDescent="0.3">
      <c r="A12" s="5">
        <v>2011</v>
      </c>
      <c r="B12" s="6">
        <v>45962</v>
      </c>
      <c r="C12" s="5" t="s">
        <v>19</v>
      </c>
      <c r="D12" s="5" t="s">
        <v>13</v>
      </c>
      <c r="E12" s="5" t="s">
        <v>40</v>
      </c>
      <c r="F12" s="5" t="s">
        <v>21</v>
      </c>
      <c r="G12" s="5" t="s">
        <v>22</v>
      </c>
      <c r="H12" s="5" t="s">
        <v>26</v>
      </c>
      <c r="I12" s="5" t="s">
        <v>24</v>
      </c>
      <c r="J12" s="5">
        <v>8</v>
      </c>
      <c r="K12" s="7">
        <v>470</v>
      </c>
      <c r="L12" s="8">
        <v>0.02</v>
      </c>
      <c r="M12" s="9">
        <f t="shared" si="0"/>
        <v>3760</v>
      </c>
      <c r="N12" s="9">
        <f t="shared" si="1"/>
        <v>75.2</v>
      </c>
      <c r="O12" s="10">
        <f t="shared" si="2"/>
        <v>3684.8</v>
      </c>
      <c r="P12" s="4" t="str">
        <f t="shared" si="3"/>
        <v>November</v>
      </c>
      <c r="Q12" s="4" t="str">
        <f t="shared" si="4"/>
        <v>Q4</v>
      </c>
      <c r="R12" s="4" t="str">
        <f t="shared" si="5"/>
        <v>Low</v>
      </c>
      <c r="S12" s="10">
        <f t="shared" si="6"/>
        <v>1289.68</v>
      </c>
    </row>
    <row r="13" spans="1:19" ht="31.2" x14ac:dyDescent="0.3">
      <c r="A13" s="5">
        <v>2012</v>
      </c>
      <c r="B13" s="6">
        <v>45992</v>
      </c>
      <c r="C13" s="5" t="s">
        <v>32</v>
      </c>
      <c r="D13" s="5" t="s">
        <v>33</v>
      </c>
      <c r="E13" s="5" t="s">
        <v>34</v>
      </c>
      <c r="F13" s="5" t="s">
        <v>35</v>
      </c>
      <c r="G13" s="5" t="s">
        <v>31</v>
      </c>
      <c r="H13" s="5" t="s">
        <v>17</v>
      </c>
      <c r="I13" s="5" t="s">
        <v>18</v>
      </c>
      <c r="J13" s="5">
        <v>2</v>
      </c>
      <c r="K13" s="7">
        <v>19500</v>
      </c>
      <c r="L13" s="8">
        <v>0.1</v>
      </c>
      <c r="M13" s="9">
        <f t="shared" si="0"/>
        <v>39000</v>
      </c>
      <c r="N13" s="9">
        <f t="shared" si="1"/>
        <v>3900</v>
      </c>
      <c r="O13" s="10">
        <f t="shared" si="2"/>
        <v>35100</v>
      </c>
      <c r="P13" s="4" t="str">
        <f t="shared" si="3"/>
        <v>December</v>
      </c>
      <c r="Q13" s="4" t="str">
        <f t="shared" si="4"/>
        <v>Q4</v>
      </c>
      <c r="R13" s="4" t="str">
        <f t="shared" si="5"/>
        <v>High</v>
      </c>
      <c r="S13" s="10">
        <f t="shared" si="6"/>
        <v>7020</v>
      </c>
    </row>
    <row r="14" spans="1:19" ht="15.6" x14ac:dyDescent="0.3">
      <c r="A14" s="5">
        <f>COUNT(Table1[OrderID])</f>
        <v>12</v>
      </c>
      <c r="B14" s="6"/>
      <c r="C14" s="5"/>
      <c r="D14" s="5"/>
      <c r="E14" s="5"/>
      <c r="F14" s="5"/>
      <c r="G14" s="5"/>
      <c r="H14" s="5"/>
      <c r="I14" s="5"/>
      <c r="J14" s="5"/>
      <c r="K14" s="7"/>
      <c r="L14" s="8"/>
      <c r="N14" s="9"/>
      <c r="O14" s="10">
        <f>SUM(Table1[Net Sales])</f>
        <v>188491.8</v>
      </c>
      <c r="S14" s="10">
        <f>SUM(Table1[[Profit ]])</f>
        <v>40146.630000000005</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683C2-5841-44A1-91BC-B616727676F2}">
  <sheetPr>
    <tabColor theme="4"/>
  </sheetPr>
  <dimension ref="A1:B7"/>
  <sheetViews>
    <sheetView workbookViewId="0">
      <selection activeCell="B9" sqref="B9"/>
    </sheetView>
  </sheetViews>
  <sheetFormatPr defaultRowHeight="14.4" x14ac:dyDescent="0.3"/>
  <cols>
    <col min="1" max="1" width="72.5546875" customWidth="1"/>
    <col min="2" max="2" width="16.6640625" customWidth="1"/>
  </cols>
  <sheetData>
    <row r="1" spans="1:2" ht="15.6" x14ac:dyDescent="0.3">
      <c r="A1" s="22" t="s">
        <v>75</v>
      </c>
      <c r="B1" t="s">
        <v>79</v>
      </c>
    </row>
    <row r="2" spans="1:2" x14ac:dyDescent="0.3">
      <c r="A2" s="23"/>
    </row>
    <row r="3" spans="1:2" ht="15.6" x14ac:dyDescent="0.3">
      <c r="A3" s="22" t="s">
        <v>76</v>
      </c>
      <c r="B3" t="s">
        <v>18</v>
      </c>
    </row>
    <row r="4" spans="1:2" x14ac:dyDescent="0.3">
      <c r="A4" s="23"/>
    </row>
    <row r="5" spans="1:2" ht="15.6" x14ac:dyDescent="0.3">
      <c r="A5" s="22" t="s">
        <v>77</v>
      </c>
      <c r="B5" t="s">
        <v>35</v>
      </c>
    </row>
    <row r="6" spans="1:2" x14ac:dyDescent="0.3">
      <c r="A6" s="23"/>
    </row>
    <row r="7" spans="1:2" ht="15.6" x14ac:dyDescent="0.3">
      <c r="A7" s="22" t="s">
        <v>78</v>
      </c>
      <c r="B7" t="s">
        <v>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6A75E-BDBC-4E24-BBB4-3F8D8597211C}">
  <sheetPr>
    <tabColor theme="4"/>
  </sheetPr>
  <dimension ref="A1:B14"/>
  <sheetViews>
    <sheetView workbookViewId="0">
      <selection activeCell="F10" sqref="F10"/>
    </sheetView>
  </sheetViews>
  <sheetFormatPr defaultRowHeight="14.4" x14ac:dyDescent="0.3"/>
  <cols>
    <col min="1" max="1" width="15.77734375" customWidth="1"/>
    <col min="2" max="2" width="16" customWidth="1"/>
  </cols>
  <sheetData>
    <row r="1" spans="1:2" ht="15.6" x14ac:dyDescent="0.3">
      <c r="A1" s="24" t="s">
        <v>71</v>
      </c>
      <c r="B1" s="25">
        <f>SUM(Table1[Net Sales])</f>
        <v>188491.8</v>
      </c>
    </row>
    <row r="2" spans="1:2" x14ac:dyDescent="0.3">
      <c r="A2" s="26"/>
      <c r="B2" s="17"/>
    </row>
    <row r="3" spans="1:2" ht="15.6" x14ac:dyDescent="0.3">
      <c r="A3" s="24" t="s">
        <v>72</v>
      </c>
      <c r="B3" s="25">
        <f>SUM(Table1[[Profit ]])</f>
        <v>40146.630000000005</v>
      </c>
    </row>
    <row r="4" spans="1:2" x14ac:dyDescent="0.3">
      <c r="A4" s="26"/>
      <c r="B4" s="17"/>
    </row>
    <row r="5" spans="1:2" ht="15.6" x14ac:dyDescent="0.3">
      <c r="A5" s="24" t="s">
        <v>73</v>
      </c>
      <c r="B5" s="27">
        <f>COUNT(Table1[OrderID])</f>
        <v>12</v>
      </c>
    </row>
    <row r="11" spans="1:2" x14ac:dyDescent="0.3">
      <c r="A11" s="28" t="s">
        <v>74</v>
      </c>
      <c r="B11" s="28"/>
    </row>
    <row r="12" spans="1:2" ht="15.6" x14ac:dyDescent="0.3">
      <c r="A12" s="24" t="s">
        <v>71</v>
      </c>
      <c r="B12" s="19">
        <f>B1</f>
        <v>188491.8</v>
      </c>
    </row>
    <row r="13" spans="1:2" ht="15.6" x14ac:dyDescent="0.3">
      <c r="A13" s="24" t="s">
        <v>72</v>
      </c>
      <c r="B13" s="19">
        <f>B3</f>
        <v>40146.630000000005</v>
      </c>
    </row>
    <row r="14" spans="1:2" ht="15.6" x14ac:dyDescent="0.3">
      <c r="A14" s="24" t="s">
        <v>73</v>
      </c>
      <c r="B14" s="17">
        <f>B5</f>
        <v>12</v>
      </c>
    </row>
  </sheetData>
  <mergeCells count="1">
    <mergeCell ref="A11:B1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6D00A-0836-4A0B-BE62-95D3E20607A5}">
  <sheetPr>
    <tabColor theme="3"/>
  </sheetPr>
  <dimension ref="A3:F8"/>
  <sheetViews>
    <sheetView workbookViewId="0">
      <selection activeCell="B6" sqref="B6"/>
    </sheetView>
  </sheetViews>
  <sheetFormatPr defaultRowHeight="14.4" x14ac:dyDescent="0.3"/>
  <cols>
    <col min="1" max="1" width="15.21875" customWidth="1"/>
    <col min="2" max="5" width="10.109375" bestFit="1" customWidth="1"/>
    <col min="6" max="6" width="11.109375" bestFit="1" customWidth="1"/>
    <col min="7" max="7" width="6" bestFit="1" customWidth="1"/>
    <col min="8" max="8" width="11.109375" bestFit="1" customWidth="1"/>
    <col min="9" max="9" width="7.6640625" bestFit="1" customWidth="1"/>
    <col min="10" max="10" width="6" bestFit="1" customWidth="1"/>
    <col min="11" max="11" width="7" bestFit="1" customWidth="1"/>
    <col min="12" max="12" width="10.33203125" bestFit="1" customWidth="1"/>
    <col min="13" max="14" width="10.77734375" bestFit="1" customWidth="1"/>
  </cols>
  <sheetData>
    <row r="3" spans="1:6" x14ac:dyDescent="0.3">
      <c r="A3" s="16" t="s">
        <v>48</v>
      </c>
      <c r="B3" s="16" t="s">
        <v>52</v>
      </c>
      <c r="C3" s="17"/>
      <c r="D3" s="17"/>
      <c r="E3" s="17"/>
      <c r="F3" s="17"/>
    </row>
    <row r="4" spans="1:6" x14ac:dyDescent="0.3">
      <c r="A4" s="16" t="s">
        <v>51</v>
      </c>
      <c r="B4" s="17" t="s">
        <v>12</v>
      </c>
      <c r="C4" s="17" t="s">
        <v>27</v>
      </c>
      <c r="D4" s="17" t="s">
        <v>32</v>
      </c>
      <c r="E4" s="17" t="s">
        <v>19</v>
      </c>
      <c r="F4" s="17" t="s">
        <v>50</v>
      </c>
    </row>
    <row r="5" spans="1:6" x14ac:dyDescent="0.3">
      <c r="A5" s="18" t="s">
        <v>31</v>
      </c>
      <c r="B5" s="19"/>
      <c r="C5" s="19">
        <v>31858</v>
      </c>
      <c r="D5" s="19">
        <v>35100</v>
      </c>
      <c r="E5" s="19"/>
      <c r="F5" s="19">
        <v>66958</v>
      </c>
    </row>
    <row r="6" spans="1:6" x14ac:dyDescent="0.3">
      <c r="A6" s="18" t="s">
        <v>16</v>
      </c>
      <c r="B6" s="19">
        <v>37742</v>
      </c>
      <c r="C6" s="19"/>
      <c r="D6" s="19">
        <v>3325</v>
      </c>
      <c r="E6" s="19">
        <v>34532</v>
      </c>
      <c r="F6" s="19">
        <v>75599</v>
      </c>
    </row>
    <row r="7" spans="1:6" x14ac:dyDescent="0.3">
      <c r="A7" s="18" t="s">
        <v>22</v>
      </c>
      <c r="B7" s="19">
        <v>21460</v>
      </c>
      <c r="C7" s="19"/>
      <c r="D7" s="19">
        <v>17670</v>
      </c>
      <c r="E7" s="19">
        <v>6804.8</v>
      </c>
      <c r="F7" s="19">
        <v>45934.8</v>
      </c>
    </row>
    <row r="8" spans="1:6" x14ac:dyDescent="0.3">
      <c r="A8" s="18" t="s">
        <v>50</v>
      </c>
      <c r="B8" s="19">
        <v>59202</v>
      </c>
      <c r="C8" s="19">
        <v>31858</v>
      </c>
      <c r="D8" s="19">
        <v>56095</v>
      </c>
      <c r="E8" s="19">
        <v>41336.800000000003</v>
      </c>
      <c r="F8" s="19">
        <v>188491.8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9A282-0E8E-4093-98AB-8CDA1B4FE209}">
  <sheetPr>
    <tabColor theme="3"/>
  </sheetPr>
  <dimension ref="A3:B6"/>
  <sheetViews>
    <sheetView topLeftCell="BI1" workbookViewId="0">
      <selection activeCell="A25" sqref="A25"/>
    </sheetView>
  </sheetViews>
  <sheetFormatPr defaultRowHeight="14.4" x14ac:dyDescent="0.3"/>
  <cols>
    <col min="1" max="1" width="12.44140625" bestFit="1" customWidth="1"/>
    <col min="2" max="2" width="12.109375" bestFit="1" customWidth="1"/>
  </cols>
  <sheetData>
    <row r="3" spans="1:2" x14ac:dyDescent="0.3">
      <c r="A3" s="16" t="s">
        <v>49</v>
      </c>
      <c r="B3" s="17" t="s">
        <v>53</v>
      </c>
    </row>
    <row r="4" spans="1:2" x14ac:dyDescent="0.3">
      <c r="A4" s="18" t="s">
        <v>24</v>
      </c>
      <c r="B4" s="19">
        <v>5712.63</v>
      </c>
    </row>
    <row r="5" spans="1:2" x14ac:dyDescent="0.3">
      <c r="A5" s="18" t="s">
        <v>18</v>
      </c>
      <c r="B5" s="19">
        <v>34434</v>
      </c>
    </row>
    <row r="6" spans="1:2" x14ac:dyDescent="0.3">
      <c r="A6" s="18" t="s">
        <v>50</v>
      </c>
      <c r="B6" s="19">
        <v>40146.629999999997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4E7A8-74CE-49C3-A25D-B2B34E2F1704}">
  <sheetPr>
    <tabColor theme="3"/>
  </sheetPr>
  <dimension ref="A1:C10"/>
  <sheetViews>
    <sheetView topLeftCell="B1" workbookViewId="0">
      <selection activeCell="P31" sqref="P31"/>
    </sheetView>
  </sheetViews>
  <sheetFormatPr defaultRowHeight="14.4" x14ac:dyDescent="0.3"/>
  <cols>
    <col min="1" max="1" width="13.21875" bestFit="1" customWidth="1"/>
    <col min="2" max="2" width="15.21875" bestFit="1" customWidth="1"/>
    <col min="3" max="3" width="12.5546875" bestFit="1" customWidth="1"/>
  </cols>
  <sheetData>
    <row r="1" spans="1:3" x14ac:dyDescent="0.3">
      <c r="A1" s="16" t="s">
        <v>3</v>
      </c>
      <c r="B1" s="17" t="s">
        <v>54</v>
      </c>
    </row>
    <row r="2" spans="1:3" x14ac:dyDescent="0.3">
      <c r="A2" s="16" t="s">
        <v>6</v>
      </c>
      <c r="B2" s="17" t="s">
        <v>54</v>
      </c>
    </row>
    <row r="4" spans="1:3" x14ac:dyDescent="0.3">
      <c r="A4" s="16" t="s">
        <v>5</v>
      </c>
      <c r="B4" s="17" t="s">
        <v>48</v>
      </c>
      <c r="C4" s="17" t="s">
        <v>53</v>
      </c>
    </row>
    <row r="5" spans="1:3" x14ac:dyDescent="0.3">
      <c r="A5" s="18" t="s">
        <v>15</v>
      </c>
      <c r="B5" s="19">
        <v>38750</v>
      </c>
      <c r="C5" s="19">
        <v>8290</v>
      </c>
    </row>
    <row r="6" spans="1:3" x14ac:dyDescent="0.3">
      <c r="A6" s="18" t="s">
        <v>35</v>
      </c>
      <c r="B6" s="19">
        <v>56095</v>
      </c>
      <c r="C6" s="19">
        <v>11717.75</v>
      </c>
    </row>
    <row r="7" spans="1:3" x14ac:dyDescent="0.3">
      <c r="A7" s="18" t="s">
        <v>25</v>
      </c>
      <c r="B7" s="19">
        <v>20452</v>
      </c>
      <c r="C7" s="19">
        <v>4479.2</v>
      </c>
    </row>
    <row r="8" spans="1:3" x14ac:dyDescent="0.3">
      <c r="A8" s="18" t="s">
        <v>30</v>
      </c>
      <c r="B8" s="19">
        <v>31858</v>
      </c>
      <c r="C8" s="19">
        <v>6371.6</v>
      </c>
    </row>
    <row r="9" spans="1:3" x14ac:dyDescent="0.3">
      <c r="A9" s="18" t="s">
        <v>21</v>
      </c>
      <c r="B9" s="19">
        <v>41336.800000000003</v>
      </c>
      <c r="C9" s="19">
        <v>9288.08</v>
      </c>
    </row>
    <row r="10" spans="1:3" x14ac:dyDescent="0.3">
      <c r="A10" s="18" t="s">
        <v>50</v>
      </c>
      <c r="B10" s="19">
        <v>188491.8</v>
      </c>
      <c r="C10" s="19">
        <v>40146.630000000005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6D120-ACBA-4232-AFEB-2CFFAF03E2A9}">
  <sheetPr>
    <tabColor theme="3"/>
  </sheetPr>
  <dimension ref="A1:B16"/>
  <sheetViews>
    <sheetView workbookViewId="0">
      <selection activeCell="C3" sqref="C3"/>
    </sheetView>
  </sheetViews>
  <sheetFormatPr defaultRowHeight="14.4" x14ac:dyDescent="0.3"/>
  <cols>
    <col min="1" max="1" width="14.21875" bestFit="1" customWidth="1"/>
    <col min="2" max="2" width="15.21875" bestFit="1" customWidth="1"/>
  </cols>
  <sheetData>
    <row r="1" spans="1:2" x14ac:dyDescent="0.3">
      <c r="A1" s="16" t="s">
        <v>45</v>
      </c>
      <c r="B1" s="17" t="s">
        <v>54</v>
      </c>
    </row>
    <row r="3" spans="1:2" x14ac:dyDescent="0.3">
      <c r="A3" s="16" t="s">
        <v>44</v>
      </c>
      <c r="B3" s="17" t="s">
        <v>48</v>
      </c>
    </row>
    <row r="4" spans="1:2" x14ac:dyDescent="0.3">
      <c r="A4" s="18" t="s">
        <v>55</v>
      </c>
      <c r="B4" s="19">
        <v>35150</v>
      </c>
    </row>
    <row r="5" spans="1:2" x14ac:dyDescent="0.3">
      <c r="A5" s="18" t="s">
        <v>59</v>
      </c>
      <c r="B5" s="19">
        <v>3120</v>
      </c>
    </row>
    <row r="6" spans="1:2" x14ac:dyDescent="0.3">
      <c r="A6" s="18" t="s">
        <v>60</v>
      </c>
      <c r="B6" s="19">
        <v>2592</v>
      </c>
    </row>
    <row r="7" spans="1:2" x14ac:dyDescent="0.3">
      <c r="A7" s="18" t="s">
        <v>61</v>
      </c>
      <c r="B7" s="19">
        <v>19530</v>
      </c>
    </row>
    <row r="8" spans="1:2" x14ac:dyDescent="0.3">
      <c r="A8" s="18" t="s">
        <v>62</v>
      </c>
      <c r="B8" s="19">
        <v>17670</v>
      </c>
    </row>
    <row r="9" spans="1:2" x14ac:dyDescent="0.3">
      <c r="A9" s="18" t="s">
        <v>63</v>
      </c>
      <c r="B9" s="19">
        <v>34532</v>
      </c>
    </row>
    <row r="10" spans="1:2" x14ac:dyDescent="0.3">
      <c r="A10" s="18" t="s">
        <v>57</v>
      </c>
      <c r="B10" s="19">
        <v>3600</v>
      </c>
    </row>
    <row r="11" spans="1:2" x14ac:dyDescent="0.3">
      <c r="A11" s="18" t="s">
        <v>64</v>
      </c>
      <c r="B11" s="19">
        <v>12328</v>
      </c>
    </row>
    <row r="12" spans="1:2" x14ac:dyDescent="0.3">
      <c r="A12" s="18" t="s">
        <v>65</v>
      </c>
      <c r="B12" s="19">
        <v>3325</v>
      </c>
    </row>
    <row r="13" spans="1:2" x14ac:dyDescent="0.3">
      <c r="A13" s="18" t="s">
        <v>66</v>
      </c>
      <c r="B13" s="19">
        <v>17860</v>
      </c>
    </row>
    <row r="14" spans="1:2" x14ac:dyDescent="0.3">
      <c r="A14" s="18" t="s">
        <v>67</v>
      </c>
      <c r="B14" s="19">
        <v>3684.8</v>
      </c>
    </row>
    <row r="15" spans="1:2" x14ac:dyDescent="0.3">
      <c r="A15" s="18" t="s">
        <v>68</v>
      </c>
      <c r="B15" s="19">
        <v>35100</v>
      </c>
    </row>
    <row r="16" spans="1:2" x14ac:dyDescent="0.3">
      <c r="A16" s="18" t="s">
        <v>50</v>
      </c>
      <c r="B16" s="19">
        <v>188491.8</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C0B14-B14D-4C36-9B83-056BC2C821D7}">
  <sheetPr>
    <tabColor theme="3"/>
  </sheetPr>
  <dimension ref="A3:C7"/>
  <sheetViews>
    <sheetView workbookViewId="0">
      <selection activeCell="B22" sqref="B22"/>
    </sheetView>
  </sheetViews>
  <sheetFormatPr defaultRowHeight="14.4" x14ac:dyDescent="0.3"/>
  <cols>
    <col min="1" max="1" width="12.44140625" bestFit="1" customWidth="1"/>
    <col min="2" max="2" width="15.109375" bestFit="1" customWidth="1"/>
    <col min="3" max="3" width="14.77734375" bestFit="1" customWidth="1"/>
  </cols>
  <sheetData>
    <row r="3" spans="1:3" x14ac:dyDescent="0.3">
      <c r="A3" s="14" t="s">
        <v>49</v>
      </c>
      <c r="B3" t="s">
        <v>70</v>
      </c>
      <c r="C3" t="s">
        <v>48</v>
      </c>
    </row>
    <row r="4" spans="1:3" x14ac:dyDescent="0.3">
      <c r="A4" s="15" t="s">
        <v>56</v>
      </c>
      <c r="B4" s="13">
        <v>3</v>
      </c>
      <c r="C4" s="1">
        <v>104782</v>
      </c>
    </row>
    <row r="5" spans="1:3" x14ac:dyDescent="0.3">
      <c r="A5" s="15" t="s">
        <v>58</v>
      </c>
      <c r="B5" s="13">
        <v>5</v>
      </c>
      <c r="C5" s="1">
        <v>16321.8</v>
      </c>
    </row>
    <row r="6" spans="1:3" x14ac:dyDescent="0.3">
      <c r="A6" s="15" t="s">
        <v>69</v>
      </c>
      <c r="B6" s="13">
        <v>4</v>
      </c>
      <c r="C6" s="1">
        <v>67388</v>
      </c>
    </row>
    <row r="7" spans="1:3" x14ac:dyDescent="0.3">
      <c r="A7" s="15" t="s">
        <v>50</v>
      </c>
      <c r="B7" s="13">
        <v>12</v>
      </c>
      <c r="C7" s="1">
        <v>188491.8</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Data</vt:lpstr>
      <vt:lpstr>Business Insight</vt:lpstr>
      <vt:lpstr>KPI</vt:lpstr>
      <vt:lpstr>Net Sales</vt:lpstr>
      <vt:lpstr>Profit Analysis</vt:lpstr>
      <vt:lpstr>Salesperson Performance</vt:lpstr>
      <vt:lpstr>Time Analysis</vt:lpstr>
      <vt:lpstr>Sales Band Distribution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Haya samy</dc:creator>
  <cp:lastModifiedBy>Haya samy</cp:lastModifiedBy>
  <dcterms:created xsi:type="dcterms:W3CDTF">2026-01-08T07:16:26Z</dcterms:created>
  <dcterms:modified xsi:type="dcterms:W3CDTF">2026-01-18T11:03:41Z</dcterms:modified>
</cp:coreProperties>
</file>